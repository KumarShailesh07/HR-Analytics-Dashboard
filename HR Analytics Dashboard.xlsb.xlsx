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defaultThemeVersion="202300"/>
  <mc:AlternateContent xmlns:mc="http://schemas.openxmlformats.org/markup-compatibility/2006">
    <mc:Choice Requires="x15">
      <x15ac:absPath xmlns:x15ac="http://schemas.microsoft.com/office/spreadsheetml/2010/11/ac" url="D:\Excel(YouTube)\Projects\HR_Analytics_Dashboard\"/>
    </mc:Choice>
  </mc:AlternateContent>
  <xr:revisionPtr revIDLastSave="0" documentId="13_ncr:1_{C146F0FB-1AB8-4E8F-8A93-1AB030FDDBC7}" xr6:coauthVersionLast="47" xr6:coauthVersionMax="47" xr10:uidLastSave="{00000000-0000-0000-0000-000000000000}"/>
  <bookViews>
    <workbookView xWindow="-110" yWindow="-110" windowWidth="19420" windowHeight="11020" tabRatio="900" xr2:uid="{8D1A429D-5BFF-4B01-B46D-9D309B6545FD}"/>
  </bookViews>
  <sheets>
    <sheet name="Raw Data" sheetId="1" r:id="rId1"/>
    <sheet name="KPI CAlCULATION" sheetId="2" r:id="rId2"/>
    <sheet name="Pivot Table Analysis" sheetId="3" r:id="rId3"/>
    <sheet name="DASHBOARD" sheetId="4" r:id="rId4"/>
    <sheet name="Insights" sheetId="5" r:id="rId5"/>
  </sheets>
  <definedNames>
    <definedName name="HR_RAW_DATA">'Raw Data'!$A$1:$M$51</definedName>
    <definedName name="Slicer_City">#N/A</definedName>
    <definedName name="Slicer_Department">#N/A</definedName>
    <definedName name="Slicer_Gende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E2" i="2"/>
  <c r="D2" i="2"/>
  <c r="C2" i="2"/>
  <c r="B2" i="2"/>
  <c r="A2" i="2"/>
  <c r="M51" i="1"/>
  <c r="M51" i="1" a="1"/>
  <c r="K51" i="1"/>
  <c r="M50" i="1"/>
  <c r="M50" i="1" a="1"/>
  <c r="K50" i="1"/>
  <c r="M49" i="1"/>
  <c r="M49" i="1" a="1"/>
  <c r="K49" i="1"/>
  <c r="M48" i="1"/>
  <c r="M48" i="1" a="1"/>
  <c r="K48" i="1"/>
  <c r="M47" i="1"/>
  <c r="M47" i="1" a="1"/>
  <c r="K47" i="1"/>
  <c r="M46" i="1"/>
  <c r="M46" i="1" a="1"/>
  <c r="K46" i="1"/>
  <c r="M45" i="1"/>
  <c r="M45" i="1" a="1"/>
  <c r="K45" i="1"/>
  <c r="M44" i="1"/>
  <c r="M44" i="1" a="1"/>
  <c r="K44" i="1"/>
  <c r="M43" i="1"/>
  <c r="M43" i="1" a="1"/>
  <c r="K43" i="1"/>
  <c r="M42" i="1"/>
  <c r="M42" i="1" a="1"/>
  <c r="K42" i="1"/>
  <c r="M41" i="1"/>
  <c r="M41" i="1" a="1"/>
  <c r="K41" i="1"/>
  <c r="M40" i="1"/>
  <c r="M40" i="1" a="1"/>
  <c r="K40" i="1"/>
  <c r="M39" i="1"/>
  <c r="M39" i="1" a="1"/>
  <c r="K39" i="1"/>
  <c r="M38" i="1"/>
  <c r="M38" i="1" a="1"/>
  <c r="K38" i="1"/>
  <c r="M37" i="1"/>
  <c r="M37" i="1" a="1"/>
  <c r="K37" i="1"/>
  <c r="M36" i="1"/>
  <c r="M36" i="1" a="1"/>
  <c r="K36" i="1"/>
  <c r="M35" i="1"/>
  <c r="M35" i="1" a="1"/>
  <c r="K35" i="1"/>
  <c r="M34" i="1"/>
  <c r="M34" i="1" a="1"/>
  <c r="K34" i="1"/>
  <c r="M33" i="1"/>
  <c r="M33" i="1" a="1"/>
  <c r="K33" i="1"/>
  <c r="M32" i="1"/>
  <c r="M32" i="1" a="1"/>
  <c r="K32" i="1"/>
  <c r="M31" i="1"/>
  <c r="M31" i="1" a="1"/>
  <c r="K31" i="1"/>
  <c r="M30" i="1"/>
  <c r="M30" i="1" a="1"/>
  <c r="K30" i="1"/>
  <c r="M29" i="1"/>
  <c r="M29" i="1" a="1"/>
  <c r="K29" i="1"/>
  <c r="M28" i="1"/>
  <c r="M28" i="1" a="1"/>
  <c r="K28" i="1"/>
  <c r="M27" i="1"/>
  <c r="M27" i="1" a="1"/>
  <c r="K27" i="1"/>
  <c r="M26" i="1"/>
  <c r="M26" i="1" a="1"/>
  <c r="K26" i="1"/>
  <c r="M25" i="1"/>
  <c r="M25" i="1" a="1"/>
  <c r="K25" i="1"/>
  <c r="M24" i="1"/>
  <c r="M24" i="1" a="1"/>
  <c r="K24" i="1"/>
  <c r="M23" i="1"/>
  <c r="M23" i="1" a="1"/>
  <c r="K23" i="1"/>
  <c r="M22" i="1"/>
  <c r="M22" i="1" a="1"/>
  <c r="K22" i="1"/>
  <c r="M21" i="1"/>
  <c r="M21" i="1" a="1"/>
  <c r="K21" i="1"/>
  <c r="M20" i="1"/>
  <c r="M20" i="1" a="1"/>
  <c r="K20" i="1"/>
  <c r="M19" i="1"/>
  <c r="M19" i="1" a="1"/>
  <c r="K19" i="1"/>
  <c r="M18" i="1"/>
  <c r="M18" i="1" a="1"/>
  <c r="K18" i="1"/>
  <c r="M17" i="1"/>
  <c r="M17" i="1" a="1"/>
  <c r="K17" i="1"/>
  <c r="M16" i="1"/>
  <c r="M16" i="1" a="1"/>
  <c r="K16" i="1"/>
  <c r="M15" i="1"/>
  <c r="M15" i="1" a="1"/>
  <c r="K15" i="1"/>
  <c r="M14" i="1"/>
  <c r="M14" i="1" a="1"/>
  <c r="K14" i="1"/>
  <c r="M13" i="1"/>
  <c r="M13" i="1" a="1"/>
  <c r="K13" i="1"/>
  <c r="M12" i="1"/>
  <c r="M12" i="1" a="1"/>
  <c r="K12" i="1"/>
  <c r="M11" i="1"/>
  <c r="M11" i="1" a="1"/>
  <c r="K11" i="1"/>
  <c r="M10" i="1"/>
  <c r="M10" i="1" a="1"/>
  <c r="K10" i="1"/>
  <c r="M9" i="1"/>
  <c r="M9" i="1" a="1"/>
  <c r="K9" i="1"/>
  <c r="M8" i="1"/>
  <c r="M8" i="1" a="1"/>
  <c r="K8" i="1"/>
  <c r="M7" i="1"/>
  <c r="M7" i="1" a="1"/>
  <c r="K7" i="1"/>
  <c r="M6" i="1"/>
  <c r="M6" i="1" a="1"/>
  <c r="K6" i="1"/>
  <c r="M5" i="1"/>
  <c r="M5" i="1" a="1"/>
  <c r="K5" i="1"/>
  <c r="M4" i="1"/>
  <c r="M4" i="1" a="1"/>
  <c r="K4" i="1"/>
  <c r="M3" i="1"/>
  <c r="M3" i="1" a="1"/>
  <c r="K3" i="1"/>
  <c r="M2" i="1"/>
  <c r="M2" i="1" a="1"/>
  <c r="K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<sst xmlns="http://schemas.openxmlformats.org/spreadsheetml/2006/main" count="407" uniqueCount="207">
  <si>
    <t>EmpID</t>
  </si>
  <si>
    <t>Name</t>
  </si>
  <si>
    <t>Gender</t>
  </si>
  <si>
    <t>Age</t>
  </si>
  <si>
    <t>Department</t>
  </si>
  <si>
    <t>JoinDate</t>
  </si>
  <si>
    <t>ExitDate</t>
  </si>
  <si>
    <t>Salary</t>
  </si>
  <si>
    <t>Experience</t>
  </si>
  <si>
    <t>City</t>
  </si>
  <si>
    <t>E001</t>
  </si>
  <si>
    <t>Rahul</t>
  </si>
  <si>
    <t>Male</t>
  </si>
  <si>
    <t>Sales</t>
  </si>
  <si>
    <t>Delhi</t>
  </si>
  <si>
    <t>E002</t>
  </si>
  <si>
    <t>Priya</t>
  </si>
  <si>
    <t>Female</t>
  </si>
  <si>
    <t>HR</t>
  </si>
  <si>
    <t>Mumbai</t>
  </si>
  <si>
    <t>E003</t>
  </si>
  <si>
    <t>Amit</t>
  </si>
  <si>
    <t>Finance</t>
  </si>
  <si>
    <t>Pune</t>
  </si>
  <si>
    <t>E004</t>
  </si>
  <si>
    <t>Neha</t>
  </si>
  <si>
    <t>IT</t>
  </si>
  <si>
    <t>Bengaluru</t>
  </si>
  <si>
    <t>E005</t>
  </si>
  <si>
    <t>Karan</t>
  </si>
  <si>
    <t>Operations</t>
  </si>
  <si>
    <t>Chennai</t>
  </si>
  <si>
    <t>E006</t>
  </si>
  <si>
    <t>Sneha</t>
  </si>
  <si>
    <t>Marketing</t>
  </si>
  <si>
    <t>E007</t>
  </si>
  <si>
    <t>Arjun</t>
  </si>
  <si>
    <t>Jaipur</t>
  </si>
  <si>
    <t>E008</t>
  </si>
  <si>
    <t>Pooja</t>
  </si>
  <si>
    <t>E009</t>
  </si>
  <si>
    <t>Vikram</t>
  </si>
  <si>
    <t>Hyderabad</t>
  </si>
  <si>
    <t>E010</t>
  </si>
  <si>
    <t>Ritu</t>
  </si>
  <si>
    <t>Noida</t>
  </si>
  <si>
    <t>E011</t>
  </si>
  <si>
    <t>Suresh</t>
  </si>
  <si>
    <t>E012</t>
  </si>
  <si>
    <t>Anjali</t>
  </si>
  <si>
    <t>E013</t>
  </si>
  <si>
    <t>Rohit</t>
  </si>
  <si>
    <t>E014</t>
  </si>
  <si>
    <t>Simran</t>
  </si>
  <si>
    <t>Amritsar</t>
  </si>
  <si>
    <t>E015</t>
  </si>
  <si>
    <t>Deepak</t>
  </si>
  <si>
    <t>E016</t>
  </si>
  <si>
    <t>Kavita</t>
  </si>
  <si>
    <t>E017</t>
  </si>
  <si>
    <t>Manoj</t>
  </si>
  <si>
    <t>Indore</t>
  </si>
  <si>
    <t>E018</t>
  </si>
  <si>
    <t>Rina</t>
  </si>
  <si>
    <t>Kolkata</t>
  </si>
  <si>
    <t>E019</t>
  </si>
  <si>
    <t>Nitin</t>
  </si>
  <si>
    <t>Gurgaon</t>
  </si>
  <si>
    <t>E020</t>
  </si>
  <si>
    <t>Shalini</t>
  </si>
  <si>
    <t>E021</t>
  </si>
  <si>
    <t>Akash</t>
  </si>
  <si>
    <t>E022</t>
  </si>
  <si>
    <t>Pallavi</t>
  </si>
  <si>
    <t>E023</t>
  </si>
  <si>
    <t>Raj</t>
  </si>
  <si>
    <t>Nagpur</t>
  </si>
  <si>
    <t>E024</t>
  </si>
  <si>
    <t>Tanya</t>
  </si>
  <si>
    <t>E025</t>
  </si>
  <si>
    <t>Sanjay</t>
  </si>
  <si>
    <t>Bhopal</t>
  </si>
  <si>
    <t>E026</t>
  </si>
  <si>
    <t>Meena</t>
  </si>
  <si>
    <t>Surat</t>
  </si>
  <si>
    <t>E027</t>
  </si>
  <si>
    <t>Vivek</t>
  </si>
  <si>
    <t>E028</t>
  </si>
  <si>
    <t>Priyanshi</t>
  </si>
  <si>
    <t>E029</t>
  </si>
  <si>
    <t>Ajay</t>
  </si>
  <si>
    <t>E030</t>
  </si>
  <si>
    <t>Nisha</t>
  </si>
  <si>
    <t>Chandigarh</t>
  </si>
  <si>
    <t>E031</t>
  </si>
  <si>
    <t>Rakesh</t>
  </si>
  <si>
    <t>E032</t>
  </si>
  <si>
    <t>Isha</t>
  </si>
  <si>
    <t>E033</t>
  </si>
  <si>
    <t>Manish</t>
  </si>
  <si>
    <t>Lucknow</t>
  </si>
  <si>
    <t>E034</t>
  </si>
  <si>
    <t>Payal</t>
  </si>
  <si>
    <t>Ahmedabad</t>
  </si>
  <si>
    <t>E035</t>
  </si>
  <si>
    <t>Ankit</t>
  </si>
  <si>
    <t>E036</t>
  </si>
  <si>
    <t>Sonal</t>
  </si>
  <si>
    <t>E037</t>
  </si>
  <si>
    <t>Kuldeep</t>
  </si>
  <si>
    <t>Jodhpur</t>
  </si>
  <si>
    <t>E038</t>
  </si>
  <si>
    <t>Rekha</t>
  </si>
  <si>
    <t>E039</t>
  </si>
  <si>
    <t>Varun</t>
  </si>
  <si>
    <t>E040</t>
  </si>
  <si>
    <t>Poonam</t>
  </si>
  <si>
    <t>E041</t>
  </si>
  <si>
    <t>Mukesh</t>
  </si>
  <si>
    <t>E042</t>
  </si>
  <si>
    <t>Aarti</t>
  </si>
  <si>
    <t>Udaipur</t>
  </si>
  <si>
    <t>E043</t>
  </si>
  <si>
    <t>Sachin</t>
  </si>
  <si>
    <t>Nashik</t>
  </si>
  <si>
    <t>E044</t>
  </si>
  <si>
    <t>Kajal</t>
  </si>
  <si>
    <t>E045</t>
  </si>
  <si>
    <t>Harsh</t>
  </si>
  <si>
    <t>Raipur</t>
  </si>
  <si>
    <t>E046</t>
  </si>
  <si>
    <t>Divya</t>
  </si>
  <si>
    <t>Dehradun</t>
  </si>
  <si>
    <t>E047</t>
  </si>
  <si>
    <t>Pankaj</t>
  </si>
  <si>
    <t>Meerut</t>
  </si>
  <si>
    <t>E048</t>
  </si>
  <si>
    <t>Namita</t>
  </si>
  <si>
    <t>Bilaspur</t>
  </si>
  <si>
    <t>E049</t>
  </si>
  <si>
    <t>Rajesh</t>
  </si>
  <si>
    <t>Patna</t>
  </si>
  <si>
    <t>E050</t>
  </si>
  <si>
    <t>Kiran</t>
  </si>
  <si>
    <t>Trivandrum</t>
  </si>
  <si>
    <t>Status</t>
  </si>
  <si>
    <t>Join Year</t>
  </si>
  <si>
    <t>18/07/2019</t>
  </si>
  <si>
    <t>15/09/2023</t>
  </si>
  <si>
    <t>20/08/2020</t>
  </si>
  <si>
    <t>15/04/2018</t>
  </si>
  <si>
    <t>25/05/2010</t>
  </si>
  <si>
    <t>17/03/2016</t>
  </si>
  <si>
    <t>21/10/2019</t>
  </si>
  <si>
    <t>14/12/2012</t>
  </si>
  <si>
    <t>19/06/2017</t>
  </si>
  <si>
    <t>27/09/2015</t>
  </si>
  <si>
    <t>30/06/2023</t>
  </si>
  <si>
    <t>14/08/2018</t>
  </si>
  <si>
    <t>23/01/2020</t>
  </si>
  <si>
    <t>17/06/2010</t>
  </si>
  <si>
    <t>28/02/2022</t>
  </si>
  <si>
    <t>15/12/2022</t>
  </si>
  <si>
    <t>19/07/2013</t>
  </si>
  <si>
    <t>31/03/2021</t>
  </si>
  <si>
    <t>18/03/2012</t>
  </si>
  <si>
    <t>25/08/2022</t>
  </si>
  <si>
    <t>14/04/2015</t>
  </si>
  <si>
    <t>20/02/2011</t>
  </si>
  <si>
    <t>16/10/2012</t>
  </si>
  <si>
    <t>27/05/2021</t>
  </si>
  <si>
    <t>22/08/2015</t>
  </si>
  <si>
    <t>18/02/2010</t>
  </si>
  <si>
    <t>30/06/2021</t>
  </si>
  <si>
    <t>Experience Band</t>
  </si>
  <si>
    <t>Total Employees</t>
  </si>
  <si>
    <t>Active Employees</t>
  </si>
  <si>
    <t>Exited Employees</t>
  </si>
  <si>
    <t>Attrition %</t>
  </si>
  <si>
    <t>Average Salary</t>
  </si>
  <si>
    <t>Average Experience</t>
  </si>
  <si>
    <t>Row Labels</t>
  </si>
  <si>
    <t>Grand Total</t>
  </si>
  <si>
    <t>Count of EmpID</t>
  </si>
  <si>
    <t>Number of Emp</t>
  </si>
  <si>
    <t>Sum of Salary</t>
  </si>
  <si>
    <t>Average of Salary</t>
  </si>
  <si>
    <t>Attrition Count</t>
  </si>
  <si>
    <t>Pivot 1 – Department Analysis</t>
  </si>
  <si>
    <t>Pivot 2 – Gender Distribution</t>
  </si>
  <si>
    <t>0-3 Years</t>
  </si>
  <si>
    <t>4-8 Years</t>
  </si>
  <si>
    <t>9-15 Years</t>
  </si>
  <si>
    <t>Number of Employees</t>
  </si>
  <si>
    <t>Pivot 3 – Experience Band</t>
  </si>
  <si>
    <t>Pivot 4 – City Wise Employees</t>
  </si>
  <si>
    <t>Pivot 5 – Join Year Trend (with Line Chart)</t>
  </si>
  <si>
    <t>Pivot 6 – Department Wise Attrition %</t>
  </si>
  <si>
    <t>Emp Salary</t>
  </si>
  <si>
    <t>Top 5 Highest Paid Employees</t>
  </si>
  <si>
    <t>Average of Experience</t>
  </si>
  <si>
    <t>Department Wise Number of Emp.</t>
  </si>
  <si>
    <t>Number of Emp.</t>
  </si>
  <si>
    <t>Deparment Wise Salary</t>
  </si>
  <si>
    <t xml:space="preserve">DASHBOARD </t>
  </si>
  <si>
    <r>
      <rPr>
        <b/>
        <u/>
        <sz val="18"/>
        <color theme="1"/>
        <rFont val="Aptos Narrow"/>
        <family val="2"/>
        <scheme val="minor"/>
      </rPr>
      <t>HR Analytics Dashboard Summary</t>
    </r>
    <r>
      <rPr>
        <b/>
        <sz val="11"/>
        <color theme="1"/>
        <rFont val="Aptos Narrow"/>
        <family val="2"/>
        <scheme val="minor"/>
      </rPr>
      <t xml:space="preserve">
The organization has a total workforce of 50 employees, indicating a mid-sized and growing setup. The overall attrition rate stands at 10%, which falls within a healthy range and reflects stable employee retention. The average salary is 66,280, showing a balanced mix of mid-level and senior-level roles. The average employee experience is 10.36 years, highlighting a highly experienced and skilled workforce.
Department-wise analysis shows that IT and Sales have the highest headcount, indicating a technology-driven and revenue-focused business model, while HR operates with a lean team structure. Salary distribution across departments reveals higher compensation in Finance and Sales, suggesting the presence of critical and senior positions in these functions.
The gender distribution is evenly balanced with 50% male and 50% female employees, reflecting strong diversity and inclusion practices. The joining trend analysis shows periods of high hiring during business growth phases and lower hiring during economic slowdown years, demonstrating strategic workforce planning.
Overall, this HR Analytics Dashboard provides management with a comprehensive view of workforce strength, stability, cost structure, experience level, diversity, and hiring trends, enabling data-driven decision-making for recruitment, retention, and compensation planning.</t>
    </r>
  </si>
  <si>
    <t>15+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</si>
</sst>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sz val="16"/>
      <color theme="1"/>
      <name val="Aptos Narrow"/>
      <family val="2"/>
      <scheme val="minor"/>
    </font>
    <font>
      <sz val="28"/>
      <color theme="1"/>
      <name val="Arial Rounded MT Bold"/>
      <family val="2"/>
    </font>
    <font>
      <b/>
      <u/>
      <sz val="18"/>
      <color theme="1"/>
      <name val="Aptos Narrow"/>
      <family val="2"/>
      <scheme val="minor"/>
    </font>
  </fonts>
  <fills count="6">
    <fill>
      <patternFill patternType="none"/>
    </fill>
    <fill>
      <patternFill patternType="gray125"/>
    </fill>
    <fill>
      <patternFill patternType="solid">
        <fgColor theme="3" tint="0.749992370372631"/>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14" fontId="0" fillId="0" borderId="0" xfId="0" applyNumberFormat="1"/>
    <xf numFmtId="0" fontId="0" fillId="2" borderId="1" xfId="0" applyFill="1" applyBorder="1"/>
    <xf numFmtId="0" fontId="0" fillId="0" borderId="1" xfId="0" applyBorder="1"/>
    <xf numFmtId="14" fontId="0" fillId="0" borderId="1" xfId="0" applyNumberFormat="1" applyBorder="1"/>
    <xf numFmtId="14" fontId="0" fillId="2" borderId="1" xfId="0" applyNumberFormat="1" applyFill="1" applyBorder="1"/>
    <xf numFmtId="2" fontId="0" fillId="0" borderId="0" xfId="0" applyNumberFormat="1"/>
    <xf numFmtId="1" fontId="0" fillId="2" borderId="1" xfId="0" applyNumberFormat="1" applyFill="1" applyBorder="1"/>
    <xf numFmtId="1" fontId="0" fillId="0" borderId="1" xfId="0" applyNumberFormat="1" applyBorder="1"/>
    <xf numFmtId="1" fontId="0" fillId="0" borderId="0" xfId="0" applyNumberFormat="1"/>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horizontal="center"/>
    </xf>
    <xf numFmtId="0" fontId="2" fillId="3" borderId="1" xfId="0" applyFont="1" applyFill="1" applyBorder="1"/>
    <xf numFmtId="9" fontId="0" fillId="0" borderId="1" xfId="1" applyFont="1" applyBorder="1" applyAlignment="1">
      <alignment horizontal="center"/>
    </xf>
    <xf numFmtId="1" fontId="0" fillId="0" borderId="1" xfId="0" applyNumberForma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xf numFmtId="10" fontId="0" fillId="0" borderId="0" xfId="0" applyNumberFormat="1"/>
    <xf numFmtId="0" fontId="0" fillId="0" borderId="0" xfId="0" pivotButton="1" applyAlignment="1">
      <alignment horizontal="center"/>
    </xf>
    <xf numFmtId="0" fontId="3" fillId="4" borderId="0" xfId="0" applyFont="1" applyFill="1" applyAlignment="1">
      <alignment horizontal="center" vertical="center"/>
    </xf>
    <xf numFmtId="0" fontId="4" fillId="4" borderId="0" xfId="0" applyFont="1" applyFill="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2" xfId="0" applyFont="1" applyFill="1" applyBorder="1" applyAlignment="1">
      <alignment horizontal="center" vertical="center"/>
    </xf>
    <xf numFmtId="0" fontId="5" fillId="5" borderId="0" xfId="0" applyFont="1" applyFill="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8" xfId="0" applyFont="1" applyFill="1" applyBorder="1" applyAlignment="1">
      <alignment horizontal="center" vertical="center"/>
    </xf>
    <xf numFmtId="0" fontId="2" fillId="0" borderId="0" xfId="0" applyFont="1" applyAlignment="1">
      <alignment horizontal="center" wrapText="1"/>
    </xf>
    <xf numFmtId="0" fontId="0" fillId="0" borderId="0" xfId="0" applyNumberFormat="1"/>
  </cellXfs>
  <cellStyles count="2">
    <cellStyle name="Normal" xfId="0" builtinId="0"/>
    <cellStyle name="Percent" xfId="1" builtinId="5"/>
  </cellStyles>
  <dxfs count="24">
    <dxf>
      <alignment horizontal="center"/>
    </dxf>
    <dxf>
      <alignment horizontal="center"/>
    </dxf>
    <dxf>
      <numFmt numFmtId="2" formatCode="0.00"/>
    </dxf>
    <dxf>
      <alignment horizontal="center"/>
    </dxf>
    <dxf>
      <numFmt numFmtId="2" formatCode="0.00"/>
    </dxf>
    <dxf>
      <alignment horizontal="center"/>
    </dxf>
    <dxf>
      <alignment horizontal="center"/>
    </dxf>
    <dxf>
      <alignment horizontal="center"/>
    </dxf>
    <dxf>
      <alignment horizontal="center"/>
    </dxf>
    <dxf>
      <numFmt numFmtId="2" formatCode="0.00"/>
    </dxf>
    <dxf>
      <alignment horizontal="center"/>
    </dxf>
    <dxf>
      <numFmt numFmtId="2" formatCode="0.00"/>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Dashboard.xlsb.xlsx]Pivot Table 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 Analysis'!$G$4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C1-4BBC-8758-C8AFDA94F0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C1-4BBC-8758-C8AFDA94F039}"/>
              </c:ext>
            </c:extLst>
          </c:dPt>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 Table Analysis'!$F$5:$F$7</c:f>
              <c:strCache>
                <c:ptCount val="2"/>
                <c:pt idx="0">
                  <c:v>Female</c:v>
                </c:pt>
                <c:pt idx="1">
                  <c:v>Male</c:v>
                </c:pt>
              </c:strCache>
            </c:strRef>
          </c:cat>
          <c:val>
            <c:numRef>
              <c:f>'Pivot Table Analysis'!$G$5:$G$7</c:f>
              <c:numCache>
                <c:formatCode>General</c:formatCode>
                <c:ptCount val="2"/>
                <c:pt idx="0">
                  <c:v>25</c:v>
                </c:pt>
                <c:pt idx="1">
                  <c:v>25</c:v>
                </c:pt>
              </c:numCache>
            </c:numRef>
          </c:val>
          <c:extLst>
            <c:ext xmlns:c16="http://schemas.microsoft.com/office/drawing/2014/chart" uri="{C3380CC4-5D6E-409C-BE32-E72D297353CC}">
              <c16:uniqueId val="{00000004-28C1-4BBC-8758-C8AFDA94F03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Dashboard.xlsb.xlsx]Pivot Table Analysis!PivotTable12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a:t>
            </a:r>
            <a:r>
              <a:rPr lang="en-US" b="1" baseline="0"/>
              <a:t> Wise Number Of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Analysis'!$AC$4</c:f>
              <c:strCache>
                <c:ptCount val="1"/>
                <c:pt idx="0">
                  <c:v>Total</c:v>
                </c:pt>
              </c:strCache>
            </c:strRef>
          </c:tx>
          <c:spPr>
            <a:solidFill>
              <a:schemeClr val="accent1"/>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Analysis'!$AB$5:$AB$11</c:f>
              <c:strCache>
                <c:ptCount val="6"/>
                <c:pt idx="0">
                  <c:v>Finance</c:v>
                </c:pt>
                <c:pt idx="1">
                  <c:v>HR</c:v>
                </c:pt>
                <c:pt idx="2">
                  <c:v>IT</c:v>
                </c:pt>
                <c:pt idx="3">
                  <c:v>Marketing</c:v>
                </c:pt>
                <c:pt idx="4">
                  <c:v>Operations</c:v>
                </c:pt>
                <c:pt idx="5">
                  <c:v>Sales</c:v>
                </c:pt>
              </c:strCache>
            </c:strRef>
          </c:cat>
          <c:val>
            <c:numRef>
              <c:f>'Pivot Table Analysis'!$AC$5:$AC$11</c:f>
              <c:numCache>
                <c:formatCode>General</c:formatCode>
                <c:ptCount val="6"/>
                <c:pt idx="0">
                  <c:v>8</c:v>
                </c:pt>
                <c:pt idx="1">
                  <c:v>7</c:v>
                </c:pt>
                <c:pt idx="2">
                  <c:v>10</c:v>
                </c:pt>
                <c:pt idx="3">
                  <c:v>8</c:v>
                </c:pt>
                <c:pt idx="4">
                  <c:v>8</c:v>
                </c:pt>
                <c:pt idx="5">
                  <c:v>9</c:v>
                </c:pt>
              </c:numCache>
            </c:numRef>
          </c:val>
          <c:extLst>
            <c:ext xmlns:c16="http://schemas.microsoft.com/office/drawing/2014/chart" uri="{C3380CC4-5D6E-409C-BE32-E72D297353CC}">
              <c16:uniqueId val="{00000000-22F3-44B4-B7E9-A403322183F7}"/>
            </c:ext>
          </c:extLst>
        </c:ser>
        <c:dLbls>
          <c:showLegendKey val="0"/>
          <c:showVal val="0"/>
          <c:showCatName val="0"/>
          <c:showSerName val="0"/>
          <c:showPercent val="0"/>
          <c:showBubbleSize val="0"/>
        </c:dLbls>
        <c:gapWidth val="219"/>
        <c:overlap val="-27"/>
        <c:axId val="1507358000"/>
        <c:axId val="1507356560"/>
      </c:barChart>
      <c:catAx>
        <c:axId val="150735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507356560"/>
        <c:crosses val="autoZero"/>
        <c:auto val="1"/>
        <c:lblAlgn val="ctr"/>
        <c:lblOffset val="100"/>
        <c:noMultiLvlLbl val="0"/>
      </c:catAx>
      <c:valAx>
        <c:axId val="1507356560"/>
        <c:scaling>
          <c:orientation val="minMax"/>
        </c:scaling>
        <c:delete val="1"/>
        <c:axPos val="l"/>
        <c:numFmt formatCode="General" sourceLinked="1"/>
        <c:majorTickMark val="none"/>
        <c:minorTickMark val="none"/>
        <c:tickLblPos val="nextTo"/>
        <c:crossAx val="1507358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Dashboard.xlsb.xlsx]Pivot Table Analysis!PivotTable13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Department</a:t>
            </a:r>
            <a:r>
              <a:rPr lang="en-US" b="1" baseline="0"/>
              <a:t> Wise Salary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Analysis'!$AF$4</c:f>
              <c:strCache>
                <c:ptCount val="1"/>
                <c:pt idx="0">
                  <c:v>Total</c:v>
                </c:pt>
              </c:strCache>
            </c:strRef>
          </c:tx>
          <c:spPr>
            <a:solidFill>
              <a:schemeClr val="accent1"/>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Analysis'!$AE$5:$AE$11</c:f>
              <c:strCache>
                <c:ptCount val="6"/>
                <c:pt idx="0">
                  <c:v>Finance</c:v>
                </c:pt>
                <c:pt idx="1">
                  <c:v>HR</c:v>
                </c:pt>
                <c:pt idx="2">
                  <c:v>IT</c:v>
                </c:pt>
                <c:pt idx="3">
                  <c:v>Marketing</c:v>
                </c:pt>
                <c:pt idx="4">
                  <c:v>Operations</c:v>
                </c:pt>
                <c:pt idx="5">
                  <c:v>Sales</c:v>
                </c:pt>
              </c:strCache>
            </c:strRef>
          </c:cat>
          <c:val>
            <c:numRef>
              <c:f>'Pivot Table Analysis'!$AF$5:$AF$11</c:f>
              <c:numCache>
                <c:formatCode>General</c:formatCode>
                <c:ptCount val="6"/>
                <c:pt idx="0">
                  <c:v>664000</c:v>
                </c:pt>
                <c:pt idx="1">
                  <c:v>427000</c:v>
                </c:pt>
                <c:pt idx="2">
                  <c:v>560000</c:v>
                </c:pt>
                <c:pt idx="3">
                  <c:v>465000</c:v>
                </c:pt>
                <c:pt idx="4">
                  <c:v>598000</c:v>
                </c:pt>
                <c:pt idx="5">
                  <c:v>600000</c:v>
                </c:pt>
              </c:numCache>
            </c:numRef>
          </c:val>
          <c:extLst>
            <c:ext xmlns:c16="http://schemas.microsoft.com/office/drawing/2014/chart" uri="{C3380CC4-5D6E-409C-BE32-E72D297353CC}">
              <c16:uniqueId val="{00000000-96A7-4CD5-8DAD-642ECFC95208}"/>
            </c:ext>
          </c:extLst>
        </c:ser>
        <c:dLbls>
          <c:showLegendKey val="0"/>
          <c:showVal val="0"/>
          <c:showCatName val="0"/>
          <c:showSerName val="0"/>
          <c:showPercent val="0"/>
          <c:showBubbleSize val="0"/>
        </c:dLbls>
        <c:gapWidth val="219"/>
        <c:overlap val="-27"/>
        <c:axId val="1481417728"/>
        <c:axId val="1481401408"/>
      </c:barChart>
      <c:catAx>
        <c:axId val="148141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81401408"/>
        <c:crosses val="autoZero"/>
        <c:auto val="1"/>
        <c:lblAlgn val="ctr"/>
        <c:lblOffset val="100"/>
        <c:noMultiLvlLbl val="0"/>
      </c:catAx>
      <c:valAx>
        <c:axId val="1481401408"/>
        <c:scaling>
          <c:orientation val="minMax"/>
        </c:scaling>
        <c:delete val="1"/>
        <c:axPos val="l"/>
        <c:numFmt formatCode="General" sourceLinked="1"/>
        <c:majorTickMark val="none"/>
        <c:minorTickMark val="none"/>
        <c:tickLblPos val="nextTo"/>
        <c:crossAx val="1481417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Dashboard.xlsb.xlsx]Pivot Table 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Join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'Pivot Table Analysis'!$Q$4</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A9FB-4A5D-9D9A-D8D2C79659EA}"/>
              </c:ext>
            </c:extLst>
          </c:dPt>
          <c:dPt>
            <c:idx val="7"/>
            <c:marker>
              <c:symbol val="none"/>
            </c:marker>
            <c:bubble3D val="0"/>
          </c:dPt>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Analysis'!$P$5:$P$21</c:f>
              <c:strCache>
                <c:ptCount val="16"/>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strCache>
            </c:strRef>
          </c:cat>
          <c:val>
            <c:numRef>
              <c:f>'Pivot Table Analysis'!$Q$5:$Q$21</c:f>
              <c:numCache>
                <c:formatCode>General</c:formatCode>
                <c:ptCount val="16"/>
                <c:pt idx="0">
                  <c:v>105000</c:v>
                </c:pt>
                <c:pt idx="1">
                  <c:v>102000</c:v>
                </c:pt>
                <c:pt idx="2">
                  <c:v>286000</c:v>
                </c:pt>
                <c:pt idx="3">
                  <c:v>173000</c:v>
                </c:pt>
                <c:pt idx="4">
                  <c:v>283000</c:v>
                </c:pt>
                <c:pt idx="5">
                  <c:v>92000</c:v>
                </c:pt>
                <c:pt idx="6">
                  <c:v>153000</c:v>
                </c:pt>
                <c:pt idx="7">
                  <c:v>312000</c:v>
                </c:pt>
                <c:pt idx="8">
                  <c:v>233000</c:v>
                </c:pt>
                <c:pt idx="9">
                  <c:v>191000</c:v>
                </c:pt>
                <c:pt idx="10">
                  <c:v>260000</c:v>
                </c:pt>
                <c:pt idx="11">
                  <c:v>400000</c:v>
                </c:pt>
                <c:pt idx="12">
                  <c:v>203000</c:v>
                </c:pt>
                <c:pt idx="13">
                  <c:v>287000</c:v>
                </c:pt>
                <c:pt idx="14">
                  <c:v>199000</c:v>
                </c:pt>
                <c:pt idx="15">
                  <c:v>35000</c:v>
                </c:pt>
              </c:numCache>
            </c:numRef>
          </c:val>
          <c:smooth val="0"/>
          <c:extLst>
            <c:ext xmlns:c16="http://schemas.microsoft.com/office/drawing/2014/chart" uri="{C3380CC4-5D6E-409C-BE32-E72D297353CC}">
              <c16:uniqueId val="{00000000-A9FB-4A5D-9D9A-D8D2C79659EA}"/>
            </c:ext>
          </c:extLst>
        </c:ser>
        <c:dLbls>
          <c:showLegendKey val="0"/>
          <c:showVal val="0"/>
          <c:showCatName val="0"/>
          <c:showSerName val="0"/>
          <c:showPercent val="0"/>
          <c:showBubbleSize val="0"/>
        </c:dLbls>
        <c:smooth val="0"/>
        <c:axId val="1481425408"/>
        <c:axId val="1481425888"/>
      </c:lineChart>
      <c:catAx>
        <c:axId val="148142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425888"/>
        <c:crosses val="autoZero"/>
        <c:auto val="1"/>
        <c:lblAlgn val="ctr"/>
        <c:lblOffset val="100"/>
        <c:noMultiLvlLbl val="0"/>
      </c:catAx>
      <c:valAx>
        <c:axId val="1481425888"/>
        <c:scaling>
          <c:orientation val="minMax"/>
        </c:scaling>
        <c:delete val="1"/>
        <c:axPos val="l"/>
        <c:numFmt formatCode="General" sourceLinked="1"/>
        <c:majorTickMark val="none"/>
        <c:minorTickMark val="none"/>
        <c:tickLblPos val="nextTo"/>
        <c:crossAx val="148142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emf"/><Relationship Id="rId7"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171450</xdr:rowOff>
    </xdr:from>
    <xdr:to>
      <xdr:col>5</xdr:col>
      <xdr:colOff>596900</xdr:colOff>
      <xdr:row>4</xdr:row>
      <xdr:rowOff>82550</xdr:rowOff>
    </xdr:to>
    <xdr:sp macro="" textlink="">
      <xdr:nvSpPr>
        <xdr:cNvPr id="3" name="TextBox 2">
          <a:extLst>
            <a:ext uri="{FF2B5EF4-FFF2-40B4-BE49-F238E27FC236}">
              <a16:creationId xmlns:a16="http://schemas.microsoft.com/office/drawing/2014/main" id="{9A5BC25D-6F73-575E-ACC8-891E425BF4E0}"/>
            </a:ext>
          </a:extLst>
        </xdr:cNvPr>
        <xdr:cNvSpPr txBox="1"/>
      </xdr:nvSpPr>
      <xdr:spPr>
        <a:xfrm>
          <a:off x="38100" y="53975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a:t>
          </a:r>
          <a:r>
            <a:rPr lang="en-US" sz="1800" b="1" baseline="0"/>
            <a:t> </a:t>
          </a:r>
          <a:r>
            <a:rPr lang="en-US" sz="1800" b="1"/>
            <a:t>Employees</a:t>
          </a:r>
        </a:p>
      </xdr:txBody>
    </xdr:sp>
    <xdr:clientData/>
  </xdr:twoCellAnchor>
  <xdr:twoCellAnchor>
    <xdr:from>
      <xdr:col>3</xdr:col>
      <xdr:colOff>31750</xdr:colOff>
      <xdr:row>4</xdr:row>
      <xdr:rowOff>63500</xdr:rowOff>
    </xdr:from>
    <xdr:to>
      <xdr:col>5</xdr:col>
      <xdr:colOff>590550</xdr:colOff>
      <xdr:row>5</xdr:row>
      <xdr:rowOff>133350</xdr:rowOff>
    </xdr:to>
    <xdr:sp macro="" textlink="'KPI CAlCULATION'!A2">
      <xdr:nvSpPr>
        <xdr:cNvPr id="4" name="TextBox 3">
          <a:extLst>
            <a:ext uri="{FF2B5EF4-FFF2-40B4-BE49-F238E27FC236}">
              <a16:creationId xmlns:a16="http://schemas.microsoft.com/office/drawing/2014/main" id="{B8351915-CF4A-4CFA-8CCA-C3EF42565C83}"/>
            </a:ext>
          </a:extLst>
        </xdr:cNvPr>
        <xdr:cNvSpPr txBox="1"/>
      </xdr:nvSpPr>
      <xdr:spPr>
        <a:xfrm>
          <a:off x="31750" y="800100"/>
          <a:ext cx="1778000" cy="254000"/>
        </a:xfrm>
        <a:prstGeom prst="rect">
          <a:avLst/>
        </a:prstGeom>
        <a:solidFill>
          <a:schemeClr val="accent3">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A507DF-1904-41D8-9ACB-BFB9C9F2D99A}" type="TxLink">
            <a:rPr lang="en-US" sz="2000" b="1" i="0" u="none" strike="noStrike">
              <a:solidFill>
                <a:srgbClr val="000000"/>
              </a:solidFill>
              <a:latin typeface="Aptos Narrow"/>
              <a:ea typeface="+mn-ea"/>
              <a:cs typeface="+mn-cs"/>
            </a:rPr>
            <a:pPr marL="0" indent="0" algn="ctr"/>
            <a:t>50</a:t>
          </a:fld>
          <a:endParaRPr lang="en-US" sz="2000" b="1"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3</xdr:col>
          <xdr:colOff>0</xdr:colOff>
          <xdr:row>5</xdr:row>
          <xdr:rowOff>146050</xdr:rowOff>
        </xdr:from>
        <xdr:to>
          <xdr:col>5</xdr:col>
          <xdr:colOff>603250</xdr:colOff>
          <xdr:row>10</xdr:row>
          <xdr:rowOff>6350</xdr:rowOff>
        </xdr:to>
        <xdr:pic>
          <xdr:nvPicPr>
            <xdr:cNvPr id="6" name="Picture 5">
              <a:extLst>
                <a:ext uri="{FF2B5EF4-FFF2-40B4-BE49-F238E27FC236}">
                  <a16:creationId xmlns:a16="http://schemas.microsoft.com/office/drawing/2014/main" id="{BC1F36E7-F619-830E-FDA4-D0BFCC3F9095}"/>
                </a:ext>
              </a:extLst>
            </xdr:cNvPr>
            <xdr:cNvPicPr>
              <a:picLocks noChangeAspect="1" noChangeArrowheads="1"/>
              <a:extLst>
                <a:ext uri="{84589F7E-364E-4C9E-8A38-B11213B215E9}">
                  <a14:cameraTool cellRange="$AG$217" spid="_x0000_s4977"/>
                </a:ext>
              </a:extLst>
            </xdr:cNvPicPr>
          </xdr:nvPicPr>
          <xdr:blipFill>
            <a:blip xmlns:r="http://schemas.openxmlformats.org/officeDocument/2006/relationships" r:embed="rId1"/>
            <a:srcRect/>
            <a:stretch>
              <a:fillRect/>
            </a:stretch>
          </xdr:blipFill>
          <xdr:spPr bwMode="auto">
            <a:xfrm>
              <a:off x="2444750" y="1058863"/>
              <a:ext cx="1825625" cy="77311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28479</xdr:colOff>
      <xdr:row>16</xdr:row>
      <xdr:rowOff>94481</xdr:rowOff>
    </xdr:from>
    <xdr:to>
      <xdr:col>22</xdr:col>
      <xdr:colOff>587278</xdr:colOff>
      <xdr:row>18</xdr:row>
      <xdr:rowOff>5580</xdr:rowOff>
    </xdr:to>
    <xdr:sp macro="" textlink="">
      <xdr:nvSpPr>
        <xdr:cNvPr id="10" name="TextBox 9">
          <a:extLst>
            <a:ext uri="{FF2B5EF4-FFF2-40B4-BE49-F238E27FC236}">
              <a16:creationId xmlns:a16="http://schemas.microsoft.com/office/drawing/2014/main" id="{7A23B16C-45CB-4A0F-9321-B0C30D9CF119}"/>
            </a:ext>
          </a:extLst>
        </xdr:cNvPr>
        <xdr:cNvSpPr txBox="1"/>
      </xdr:nvSpPr>
      <xdr:spPr>
        <a:xfrm>
          <a:off x="13363479" y="3019329"/>
          <a:ext cx="1771072" cy="27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800" b="1"/>
        </a:p>
      </xdr:txBody>
    </xdr:sp>
    <xdr:clientData/>
  </xdr:twoCellAnchor>
  <xdr:twoCellAnchor>
    <xdr:from>
      <xdr:col>7</xdr:col>
      <xdr:colOff>31750</xdr:colOff>
      <xdr:row>4</xdr:row>
      <xdr:rowOff>92364</xdr:rowOff>
    </xdr:from>
    <xdr:to>
      <xdr:col>9</xdr:col>
      <xdr:colOff>590550</xdr:colOff>
      <xdr:row>5</xdr:row>
      <xdr:rowOff>162214</xdr:rowOff>
    </xdr:to>
    <xdr:sp macro="" textlink="'KPI CAlCULATION'!D2">
      <xdr:nvSpPr>
        <xdr:cNvPr id="11" name="TextBox 10">
          <a:extLst>
            <a:ext uri="{FF2B5EF4-FFF2-40B4-BE49-F238E27FC236}">
              <a16:creationId xmlns:a16="http://schemas.microsoft.com/office/drawing/2014/main" id="{613367BB-9BDD-4052-892A-A36F5CC36AA4}"/>
            </a:ext>
          </a:extLst>
        </xdr:cNvPr>
        <xdr:cNvSpPr txBox="1"/>
      </xdr:nvSpPr>
      <xdr:spPr>
        <a:xfrm>
          <a:off x="4274705" y="823576"/>
          <a:ext cx="1771072" cy="252653"/>
        </a:xfrm>
        <a:prstGeom prst="rect">
          <a:avLst/>
        </a:prstGeom>
        <a:solidFill>
          <a:schemeClr val="accent3">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FB0F0A-5C0A-47D3-82FD-C82B9DB634E1}" type="TxLink">
            <a:rPr lang="en-US" sz="2000" b="1" i="0" u="none" strike="noStrike">
              <a:solidFill>
                <a:srgbClr val="000000"/>
              </a:solidFill>
              <a:latin typeface="Aptos Narrow"/>
              <a:ea typeface="+mn-ea"/>
              <a:cs typeface="+mn-cs"/>
            </a:rPr>
            <a:pPr marL="0" indent="0" algn="ctr"/>
            <a:t>10%</a:t>
          </a:fld>
          <a:endParaRPr lang="en-US" sz="2000" b="1"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7</xdr:col>
          <xdr:colOff>25399</xdr:colOff>
          <xdr:row>5</xdr:row>
          <xdr:rowOff>168563</xdr:rowOff>
        </xdr:from>
        <xdr:to>
          <xdr:col>9</xdr:col>
          <xdr:colOff>596899</xdr:colOff>
          <xdr:row>10</xdr:row>
          <xdr:rowOff>41563</xdr:rowOff>
        </xdr:to>
        <xdr:pic>
          <xdr:nvPicPr>
            <xdr:cNvPr id="13" name="Picture 12">
              <a:extLst>
                <a:ext uri="{FF2B5EF4-FFF2-40B4-BE49-F238E27FC236}">
                  <a16:creationId xmlns:a16="http://schemas.microsoft.com/office/drawing/2014/main" id="{6B4F0C33-A868-B432-58D4-B8F7B6A41403}"/>
                </a:ext>
              </a:extLst>
            </xdr:cNvPr>
            <xdr:cNvPicPr>
              <a:picLocks noChangeAspect="1" noChangeArrowheads="1"/>
              <a:extLst>
                <a:ext uri="{84589F7E-364E-4C9E-8A38-B11213B215E9}">
                  <a14:cameraTool cellRange="$AG$218" spid="_x0000_s4978"/>
                </a:ext>
              </a:extLst>
            </xdr:cNvPicPr>
          </xdr:nvPicPr>
          <xdr:blipFill>
            <a:blip xmlns:r="http://schemas.openxmlformats.org/officeDocument/2006/relationships" r:embed="rId2"/>
            <a:srcRect/>
            <a:stretch>
              <a:fillRect/>
            </a:stretch>
          </xdr:blipFill>
          <xdr:spPr bwMode="auto">
            <a:xfrm>
              <a:off x="4268354" y="1082578"/>
              <a:ext cx="1783772" cy="78701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38100</xdr:colOff>
      <xdr:row>2</xdr:row>
      <xdr:rowOff>171450</xdr:rowOff>
    </xdr:from>
    <xdr:to>
      <xdr:col>14</xdr:col>
      <xdr:colOff>596900</xdr:colOff>
      <xdr:row>4</xdr:row>
      <xdr:rowOff>82550</xdr:rowOff>
    </xdr:to>
    <xdr:sp macro="" textlink="">
      <xdr:nvSpPr>
        <xdr:cNvPr id="14" name="TextBox 13">
          <a:extLst>
            <a:ext uri="{FF2B5EF4-FFF2-40B4-BE49-F238E27FC236}">
              <a16:creationId xmlns:a16="http://schemas.microsoft.com/office/drawing/2014/main" id="{90F6C319-E637-40AD-B362-47F02D9EC436}"/>
            </a:ext>
          </a:extLst>
        </xdr:cNvPr>
        <xdr:cNvSpPr txBox="1"/>
      </xdr:nvSpPr>
      <xdr:spPr>
        <a:xfrm>
          <a:off x="2476500" y="53975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dk1"/>
              </a:solidFill>
              <a:latin typeface="+mn-lt"/>
              <a:ea typeface="+mn-ea"/>
              <a:cs typeface="+mn-cs"/>
            </a:rPr>
            <a:t>Avg Salary</a:t>
          </a:r>
        </a:p>
      </xdr:txBody>
    </xdr:sp>
    <xdr:clientData/>
  </xdr:twoCellAnchor>
  <xdr:twoCellAnchor>
    <xdr:from>
      <xdr:col>12</xdr:col>
      <xdr:colOff>31750</xdr:colOff>
      <xdr:row>4</xdr:row>
      <xdr:rowOff>63500</xdr:rowOff>
    </xdr:from>
    <xdr:to>
      <xdr:col>14</xdr:col>
      <xdr:colOff>590550</xdr:colOff>
      <xdr:row>5</xdr:row>
      <xdr:rowOff>133350</xdr:rowOff>
    </xdr:to>
    <xdr:sp macro="" textlink="'KPI CAlCULATION'!E2">
      <xdr:nvSpPr>
        <xdr:cNvPr id="15" name="TextBox 14">
          <a:extLst>
            <a:ext uri="{FF2B5EF4-FFF2-40B4-BE49-F238E27FC236}">
              <a16:creationId xmlns:a16="http://schemas.microsoft.com/office/drawing/2014/main" id="{5BD29A47-E2A9-4B6F-8B2D-F985311A9156}"/>
            </a:ext>
          </a:extLst>
        </xdr:cNvPr>
        <xdr:cNvSpPr txBox="1"/>
      </xdr:nvSpPr>
      <xdr:spPr>
        <a:xfrm>
          <a:off x="7379607" y="789214"/>
          <a:ext cx="1783443" cy="251279"/>
        </a:xfrm>
        <a:prstGeom prst="rect">
          <a:avLst/>
        </a:prstGeom>
        <a:solidFill>
          <a:schemeClr val="accent3">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780C463-89C4-437A-9179-447308AC2051}" type="TxLink">
            <a:rPr lang="en-US" sz="2000" b="1" i="0" u="none" strike="noStrike">
              <a:solidFill>
                <a:srgbClr val="000000"/>
              </a:solidFill>
              <a:latin typeface="Aptos Narrow"/>
              <a:ea typeface="+mn-ea"/>
              <a:cs typeface="+mn-cs"/>
            </a:rPr>
            <a:pPr marL="0" indent="0" algn="ctr"/>
            <a:t>66280</a:t>
          </a:fld>
          <a:endParaRPr lang="en-US" sz="2000" b="1"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12</xdr:col>
          <xdr:colOff>31750</xdr:colOff>
          <xdr:row>5</xdr:row>
          <xdr:rowOff>139700</xdr:rowOff>
        </xdr:from>
        <xdr:to>
          <xdr:col>14</xdr:col>
          <xdr:colOff>596900</xdr:colOff>
          <xdr:row>10</xdr:row>
          <xdr:rowOff>6350</xdr:rowOff>
        </xdr:to>
        <xdr:pic>
          <xdr:nvPicPr>
            <xdr:cNvPr id="17" name="Picture 16">
              <a:extLst>
                <a:ext uri="{FF2B5EF4-FFF2-40B4-BE49-F238E27FC236}">
                  <a16:creationId xmlns:a16="http://schemas.microsoft.com/office/drawing/2014/main" id="{C6E1ECD3-1260-D301-EB8D-A8DFB1AB3DAB}"/>
                </a:ext>
              </a:extLst>
            </xdr:cNvPr>
            <xdr:cNvPicPr>
              <a:picLocks noChangeAspect="1" noChangeArrowheads="1"/>
              <a:extLst>
                <a:ext uri="{84589F7E-364E-4C9E-8A38-B11213B215E9}">
                  <a14:cameraTool cellRange="$AG$219" spid="_x0000_s4979"/>
                </a:ext>
              </a:extLst>
            </xdr:cNvPicPr>
          </xdr:nvPicPr>
          <xdr:blipFill>
            <a:blip xmlns:r="http://schemas.openxmlformats.org/officeDocument/2006/relationships" r:embed="rId3"/>
            <a:srcRect/>
            <a:stretch>
              <a:fillRect/>
            </a:stretch>
          </xdr:blipFill>
          <xdr:spPr bwMode="auto">
            <a:xfrm>
              <a:off x="7379607" y="1046843"/>
              <a:ext cx="1789793" cy="77379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38100</xdr:colOff>
      <xdr:row>2</xdr:row>
      <xdr:rowOff>171450</xdr:rowOff>
    </xdr:from>
    <xdr:to>
      <xdr:col>18</xdr:col>
      <xdr:colOff>596900</xdr:colOff>
      <xdr:row>4</xdr:row>
      <xdr:rowOff>82550</xdr:rowOff>
    </xdr:to>
    <xdr:sp macro="" textlink="">
      <xdr:nvSpPr>
        <xdr:cNvPr id="18" name="TextBox 17">
          <a:extLst>
            <a:ext uri="{FF2B5EF4-FFF2-40B4-BE49-F238E27FC236}">
              <a16:creationId xmlns:a16="http://schemas.microsoft.com/office/drawing/2014/main" id="{8541866A-B771-4247-83B2-3165142A5561}"/>
            </a:ext>
          </a:extLst>
        </xdr:cNvPr>
        <xdr:cNvSpPr txBox="1"/>
      </xdr:nvSpPr>
      <xdr:spPr>
        <a:xfrm>
          <a:off x="4914900" y="539750"/>
          <a:ext cx="17780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1">
              <a:solidFill>
                <a:schemeClr val="dk1"/>
              </a:solidFill>
              <a:latin typeface="+mn-lt"/>
              <a:ea typeface="+mn-ea"/>
              <a:cs typeface="+mn-cs"/>
            </a:rPr>
            <a:t>Avg Experience</a:t>
          </a:r>
        </a:p>
      </xdr:txBody>
    </xdr:sp>
    <xdr:clientData/>
  </xdr:twoCellAnchor>
  <xdr:twoCellAnchor>
    <xdr:from>
      <xdr:col>16</xdr:col>
      <xdr:colOff>31750</xdr:colOff>
      <xdr:row>4</xdr:row>
      <xdr:rowOff>57150</xdr:rowOff>
    </xdr:from>
    <xdr:to>
      <xdr:col>18</xdr:col>
      <xdr:colOff>590550</xdr:colOff>
      <xdr:row>5</xdr:row>
      <xdr:rowOff>127000</xdr:rowOff>
    </xdr:to>
    <xdr:sp macro="" textlink="'KPI CAlCULATION'!F2">
      <xdr:nvSpPr>
        <xdr:cNvPr id="19" name="TextBox 18">
          <a:extLst>
            <a:ext uri="{FF2B5EF4-FFF2-40B4-BE49-F238E27FC236}">
              <a16:creationId xmlns:a16="http://schemas.microsoft.com/office/drawing/2014/main" id="{355B7A5D-7D24-4348-B46C-3F3819739215}"/>
            </a:ext>
          </a:extLst>
        </xdr:cNvPr>
        <xdr:cNvSpPr txBox="1"/>
      </xdr:nvSpPr>
      <xdr:spPr>
        <a:xfrm>
          <a:off x="7346950" y="793750"/>
          <a:ext cx="1778000" cy="254000"/>
        </a:xfrm>
        <a:prstGeom prst="rect">
          <a:avLst/>
        </a:prstGeom>
        <a:solidFill>
          <a:schemeClr val="accent3">
            <a:lumMod val="20000"/>
            <a:lumOff val="8000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68EF82A-01C3-41B0-B6CD-72892EE9A7E0}" type="TxLink">
            <a:rPr lang="en-US" sz="2000" b="1" i="0" u="none" strike="noStrike">
              <a:solidFill>
                <a:srgbClr val="000000"/>
              </a:solidFill>
              <a:latin typeface="Aptos Narrow"/>
              <a:ea typeface="+mn-ea"/>
              <a:cs typeface="+mn-cs"/>
            </a:rPr>
            <a:pPr marL="0" indent="0" algn="ctr"/>
            <a:t>10.36 Years </a:t>
          </a:fld>
          <a:endParaRPr lang="en-US" sz="2000" b="1" i="0" u="none" strike="noStrike">
            <a:solidFill>
              <a:srgbClr val="000000"/>
            </a:solidFill>
            <a:latin typeface="Aptos Narrow"/>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16</xdr:col>
          <xdr:colOff>31750</xdr:colOff>
          <xdr:row>5</xdr:row>
          <xdr:rowOff>152400</xdr:rowOff>
        </xdr:from>
        <xdr:to>
          <xdr:col>18</xdr:col>
          <xdr:colOff>595630</xdr:colOff>
          <xdr:row>10</xdr:row>
          <xdr:rowOff>12700</xdr:rowOff>
        </xdr:to>
        <xdr:pic>
          <xdr:nvPicPr>
            <xdr:cNvPr id="21" name="Picture 20">
              <a:extLst>
                <a:ext uri="{FF2B5EF4-FFF2-40B4-BE49-F238E27FC236}">
                  <a16:creationId xmlns:a16="http://schemas.microsoft.com/office/drawing/2014/main" id="{38EC3406-8126-8E43-F84B-E133A816A894}"/>
                </a:ext>
              </a:extLst>
            </xdr:cNvPr>
            <xdr:cNvPicPr>
              <a:picLocks noChangeAspect="1" noChangeArrowheads="1"/>
              <a:extLst>
                <a:ext uri="{84589F7E-364E-4C9E-8A38-B11213B215E9}">
                  <a14:cameraTool cellRange="$AG$220" spid="_x0000_s4980"/>
                </a:ext>
              </a:extLst>
            </xdr:cNvPicPr>
          </xdr:nvPicPr>
          <xdr:blipFill>
            <a:blip xmlns:r="http://schemas.openxmlformats.org/officeDocument/2006/relationships" r:embed="rId4"/>
            <a:srcRect/>
            <a:stretch>
              <a:fillRect/>
            </a:stretch>
          </xdr:blipFill>
          <xdr:spPr bwMode="auto">
            <a:xfrm>
              <a:off x="7346950" y="1073150"/>
              <a:ext cx="1783080" cy="7810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13</xdr:col>
      <xdr:colOff>180295</xdr:colOff>
      <xdr:row>10</xdr:row>
      <xdr:rowOff>145143</xdr:rowOff>
    </xdr:from>
    <xdr:to>
      <xdr:col>19</xdr:col>
      <xdr:colOff>27214</xdr:colOff>
      <xdr:row>23</xdr:row>
      <xdr:rowOff>168957</xdr:rowOff>
    </xdr:to>
    <xdr:graphicFrame macro="">
      <xdr:nvGraphicFramePr>
        <xdr:cNvPr id="24" name="Chart 23">
          <a:extLst>
            <a:ext uri="{FF2B5EF4-FFF2-40B4-BE49-F238E27FC236}">
              <a16:creationId xmlns:a16="http://schemas.microsoft.com/office/drawing/2014/main" id="{6B000FD7-C502-4805-8582-B7ED91B3A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xdr:colOff>
      <xdr:row>10</xdr:row>
      <xdr:rowOff>154213</xdr:rowOff>
    </xdr:from>
    <xdr:to>
      <xdr:col>8</xdr:col>
      <xdr:colOff>9071</xdr:colOff>
      <xdr:row>23</xdr:row>
      <xdr:rowOff>170089</xdr:rowOff>
    </xdr:to>
    <xdr:graphicFrame macro="">
      <xdr:nvGraphicFramePr>
        <xdr:cNvPr id="26" name="Chart 25">
          <a:extLst>
            <a:ext uri="{FF2B5EF4-FFF2-40B4-BE49-F238E27FC236}">
              <a16:creationId xmlns:a16="http://schemas.microsoft.com/office/drawing/2014/main" id="{15020E23-F258-43FD-B500-6673E2A17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36285</xdr:colOff>
      <xdr:row>10</xdr:row>
      <xdr:rowOff>154214</xdr:rowOff>
    </xdr:from>
    <xdr:to>
      <xdr:col>13</xdr:col>
      <xdr:colOff>154215</xdr:colOff>
      <xdr:row>23</xdr:row>
      <xdr:rowOff>172357</xdr:rowOff>
    </xdr:to>
    <xdr:graphicFrame macro="">
      <xdr:nvGraphicFramePr>
        <xdr:cNvPr id="27" name="Chart 26">
          <a:extLst>
            <a:ext uri="{FF2B5EF4-FFF2-40B4-BE49-F238E27FC236}">
              <a16:creationId xmlns:a16="http://schemas.microsoft.com/office/drawing/2014/main" id="{6C030601-28FB-481C-A79A-0244C02B1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598715</xdr:colOff>
      <xdr:row>24</xdr:row>
      <xdr:rowOff>45357</xdr:rowOff>
    </xdr:from>
    <xdr:to>
      <xdr:col>19</xdr:col>
      <xdr:colOff>0</xdr:colOff>
      <xdr:row>40</xdr:row>
      <xdr:rowOff>174337</xdr:rowOff>
    </xdr:to>
    <xdr:graphicFrame macro="">
      <xdr:nvGraphicFramePr>
        <xdr:cNvPr id="30" name="Chart 29">
          <a:extLst>
            <a:ext uri="{FF2B5EF4-FFF2-40B4-BE49-F238E27FC236}">
              <a16:creationId xmlns:a16="http://schemas.microsoft.com/office/drawing/2014/main" id="{53D34F2D-A6F1-4D31-99FA-DEF2DD401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38100</xdr:colOff>
      <xdr:row>2</xdr:row>
      <xdr:rowOff>171450</xdr:rowOff>
    </xdr:from>
    <xdr:to>
      <xdr:col>9</xdr:col>
      <xdr:colOff>596900</xdr:colOff>
      <xdr:row>4</xdr:row>
      <xdr:rowOff>82550</xdr:rowOff>
    </xdr:to>
    <xdr:sp macro="" textlink="">
      <xdr:nvSpPr>
        <xdr:cNvPr id="31" name="TextBox 30">
          <a:extLst>
            <a:ext uri="{FF2B5EF4-FFF2-40B4-BE49-F238E27FC236}">
              <a16:creationId xmlns:a16="http://schemas.microsoft.com/office/drawing/2014/main" id="{B0267BCF-338C-4245-8D66-6C65E13FE73C}"/>
            </a:ext>
          </a:extLst>
        </xdr:cNvPr>
        <xdr:cNvSpPr txBox="1"/>
      </xdr:nvSpPr>
      <xdr:spPr>
        <a:xfrm>
          <a:off x="1856509" y="537056"/>
          <a:ext cx="1771073" cy="276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dk1"/>
              </a:solidFill>
              <a:latin typeface="+mn-lt"/>
              <a:ea typeface="+mn-ea"/>
              <a:cs typeface="+mn-cs"/>
            </a:rPr>
            <a:t>Attrition %</a:t>
          </a:r>
        </a:p>
      </xdr:txBody>
    </xdr:sp>
    <xdr:clientData/>
  </xdr:twoCellAnchor>
  <xdr:twoCellAnchor editAs="oneCell">
    <xdr:from>
      <xdr:col>0</xdr:col>
      <xdr:colOff>0</xdr:colOff>
      <xdr:row>20</xdr:row>
      <xdr:rowOff>123702</xdr:rowOff>
    </xdr:from>
    <xdr:to>
      <xdr:col>3</xdr:col>
      <xdr:colOff>495</xdr:colOff>
      <xdr:row>40</xdr:row>
      <xdr:rowOff>170089</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7F9D7714-327F-443C-BC8A-5BDED17B6B9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3752273"/>
              <a:ext cx="1832924" cy="3674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0</xdr:rowOff>
    </xdr:from>
    <xdr:to>
      <xdr:col>3</xdr:col>
      <xdr:colOff>495</xdr:colOff>
      <xdr:row>8</xdr:row>
      <xdr:rowOff>102133</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7824D0B1-FCAB-4313-9E04-E814FA29AB9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544286"/>
              <a:ext cx="1832924" cy="1009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107207</xdr:rowOff>
    </xdr:from>
    <xdr:to>
      <xdr:col>3</xdr:col>
      <xdr:colOff>495</xdr:colOff>
      <xdr:row>20</xdr:row>
      <xdr:rowOff>113606</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E959FA31-28F3-4B0D-A9AF-D82B21616D1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1558636"/>
              <a:ext cx="1832924" cy="2183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33.562157986111" createdVersion="8" refreshedVersion="8" minRefreshableVersion="3" recordCount="50" xr:uid="{F8BDCD6A-079F-4CFD-B6DE-3396D620789D}">
  <cacheSource type="worksheet">
    <worksheetSource name="HR_RAW_DATA"/>
  </cacheSource>
  <cacheFields count="13">
    <cacheField name="EmpID" numFmtId="0">
      <sharedItems count="5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haredItems>
    </cacheField>
    <cacheField name="Name" numFmtId="0">
      <sharedItems count="50">
        <s v="Rahul"/>
        <s v="Priya"/>
        <s v="Amit"/>
        <s v="Neha"/>
        <s v="Karan"/>
        <s v="Sneha"/>
        <s v="Arjun"/>
        <s v="Pooja"/>
        <s v="Vikram"/>
        <s v="Ritu"/>
        <s v="Suresh"/>
        <s v="Anjali"/>
        <s v="Rohit"/>
        <s v="Simran"/>
        <s v="Deepak"/>
        <s v="Kavita"/>
        <s v="Manoj"/>
        <s v="Rina"/>
        <s v="Nitin"/>
        <s v="Shalini"/>
        <s v="Akash"/>
        <s v="Pallavi"/>
        <s v="Raj"/>
        <s v="Tanya"/>
        <s v="Sanjay"/>
        <s v="Meena"/>
        <s v="Vivek"/>
        <s v="Priyanshi"/>
        <s v="Ajay"/>
        <s v="Nisha"/>
        <s v="Rakesh"/>
        <s v="Isha"/>
        <s v="Manish"/>
        <s v="Payal"/>
        <s v="Ankit"/>
        <s v="Sonal"/>
        <s v="Kuldeep"/>
        <s v="Rekha"/>
        <s v="Varun"/>
        <s v="Poonam"/>
        <s v="Mukesh"/>
        <s v="Aarti"/>
        <s v="Sachin"/>
        <s v="Kajal"/>
        <s v="Harsh"/>
        <s v="Divya"/>
        <s v="Pankaj"/>
        <s v="Namita"/>
        <s v="Rajesh"/>
        <s v="Kiran"/>
      </sharedItems>
    </cacheField>
    <cacheField name="Gender" numFmtId="0">
      <sharedItems/>
    </cacheField>
    <cacheField name="Age" numFmtId="0">
      <sharedItems containsSemiMixedTypes="0" containsString="0" containsNumber="1" containsInteger="1" minValue="24" maxValue="52"/>
    </cacheField>
    <cacheField name="Department" numFmtId="0">
      <sharedItems count="6">
        <s v="Sales"/>
        <s v="HR"/>
        <s v="Finance"/>
        <s v="IT"/>
        <s v="Operations"/>
        <s v="Marketing"/>
      </sharedItems>
    </cacheField>
    <cacheField name="JoinDate" numFmtId="0">
      <sharedItems containsDate="1" containsMixedTypes="1" minDate="2008-01-01T00:00:00" maxDate="2023-01-08T00:00:00"/>
    </cacheField>
    <cacheField name="ExitDate" numFmtId="14">
      <sharedItems containsNonDate="0" containsDate="1" containsBlank="1" containsMixedTypes="1" minDate="2022-12-12T00:00:00" maxDate="2022-12-13T00:00:00"/>
    </cacheField>
    <cacheField name="Salary" numFmtId="0">
      <sharedItems containsSemiMixedTypes="0" containsString="0" containsNumber="1" containsInteger="1" minValue="35000" maxValue="110000"/>
    </cacheField>
    <cacheField name="Experience" numFmtId="1">
      <sharedItems containsSemiMixedTypes="0" containsString="0" containsNumber="1" containsInteger="1" minValue="1" maxValue="28"/>
    </cacheField>
    <cacheField name="City" numFmtId="0">
      <sharedItems/>
    </cacheField>
    <cacheField name="Status" numFmtId="0">
      <sharedItems/>
    </cacheField>
    <cacheField name="Join Year" numFmtId="0">
      <sharedItems containsSemiMixedTypes="0" containsString="0" containsNumber="1" containsInteger="1" minValue="2008" maxValue="2023"/>
    </cacheField>
    <cacheField name="Experience Ban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34.498211226855" createdVersion="8" refreshedVersion="8" minRefreshableVersion="3" recordCount="50" xr:uid="{A639151F-45B5-44BA-B1D7-C3EA565EBC17}">
  <cacheSource type="worksheet">
    <worksheetSource ref="A1:M51" sheet="Raw Data"/>
  </cacheSource>
  <cacheFields count="13">
    <cacheField name="Emp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24" maxValue="52"/>
    </cacheField>
    <cacheField name="Department" numFmtId="0">
      <sharedItems count="6">
        <s v="Sales"/>
        <s v="HR"/>
        <s v="Finance"/>
        <s v="IT"/>
        <s v="Operations"/>
        <s v="Marketing"/>
      </sharedItems>
    </cacheField>
    <cacheField name="JoinDate" numFmtId="0">
      <sharedItems containsDate="1" containsMixedTypes="1" minDate="2008-01-01T00:00:00" maxDate="2023-01-08T00:00:00"/>
    </cacheField>
    <cacheField name="ExitDate" numFmtId="14">
      <sharedItems containsNonDate="0" containsDate="1" containsBlank="1" containsMixedTypes="1" minDate="2022-12-12T00:00:00" maxDate="2022-12-13T00:00:00"/>
    </cacheField>
    <cacheField name="Salary" numFmtId="0">
      <sharedItems containsSemiMixedTypes="0" containsString="0" containsNumber="1" containsInteger="1" minValue="35000" maxValue="110000"/>
    </cacheField>
    <cacheField name="Experience" numFmtId="1">
      <sharedItems containsSemiMixedTypes="0" containsString="0" containsNumber="1" containsInteger="1" minValue="1" maxValue="28"/>
    </cacheField>
    <cacheField name="City" numFmtId="0">
      <sharedItems count="27">
        <s v="Delhi"/>
        <s v="Mumbai"/>
        <s v="Pune"/>
        <s v="Bengaluru"/>
        <s v="Chennai"/>
        <s v="Jaipur"/>
        <s v="Hyderabad"/>
        <s v="Noida"/>
        <s v="Amritsar"/>
        <s v="Indore"/>
        <s v="Kolkata"/>
        <s v="Gurgaon"/>
        <s v="Nagpur"/>
        <s v="Bhopal"/>
        <s v="Surat"/>
        <s v="Chandigarh"/>
        <s v="Lucknow"/>
        <s v="Ahmedabad"/>
        <s v="Jodhpur"/>
        <s v="Udaipur"/>
        <s v="Nashik"/>
        <s v="Raipur"/>
        <s v="Dehradun"/>
        <s v="Meerut"/>
        <s v="Bilaspur"/>
        <s v="Patna"/>
        <s v="Trivandrum"/>
      </sharedItems>
    </cacheField>
    <cacheField name="Status" numFmtId="0">
      <sharedItems/>
    </cacheField>
    <cacheField name="Join Year" numFmtId="0">
      <sharedItems containsSemiMixedTypes="0" containsString="0" containsNumber="1" containsInteger="1" minValue="2008" maxValue="2023" count="16">
        <n v="2020"/>
        <n v="2019"/>
        <n v="2015"/>
        <n v="2021"/>
        <n v="2017"/>
        <n v="2018"/>
        <n v="2014"/>
        <n v="2022"/>
        <n v="2010"/>
        <n v="2016"/>
        <n v="2023"/>
        <n v="2012"/>
        <n v="2011"/>
        <n v="2013"/>
        <n v="2008"/>
        <n v="2009"/>
      </sharedItems>
    </cacheField>
    <cacheField name="Experience Band" numFmtId="0">
      <sharedItems count="4">
        <s v="4-8 Years"/>
        <s v="15+ Years"/>
        <s v="0-3 Years"/>
        <s v="9-15 Years"/>
      </sharedItems>
    </cacheField>
  </cacheFields>
  <extLst>
    <ext xmlns:x14="http://schemas.microsoft.com/office/spreadsheetml/2009/9/main" uri="{725AE2AE-9491-48be-B2B4-4EB974FC3084}">
      <x14:pivotCacheDefinition pivotCacheId="5253300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Male"/>
    <n v="28"/>
    <x v="0"/>
    <d v="2020-12-03T00:00:00"/>
    <m/>
    <n v="45000"/>
    <n v="4"/>
    <s v="Delhi"/>
    <s v="Active"/>
    <n v="2020"/>
    <s v="4-8 Years"/>
  </r>
  <r>
    <x v="1"/>
    <x v="1"/>
    <s v="Female"/>
    <n v="32"/>
    <x v="1"/>
    <s v="18/07/2019"/>
    <m/>
    <n v="52000"/>
    <n v="7"/>
    <s v="Mumbai"/>
    <s v="Active"/>
    <n v="2019"/>
    <s v="4-8 Years"/>
  </r>
  <r>
    <x v="2"/>
    <x v="2"/>
    <s v="Male"/>
    <n v="45"/>
    <x v="2"/>
    <d v="2015-02-01T00:00:00"/>
    <s v="15/09/2023"/>
    <n v="90000"/>
    <n v="18"/>
    <s v="Pune"/>
    <s v="Exited"/>
    <n v="2015"/>
    <s v="15+ Years"/>
  </r>
  <r>
    <x v="3"/>
    <x v="3"/>
    <s v="Female"/>
    <n v="26"/>
    <x v="3"/>
    <d v="2021-10-06T00:00:00"/>
    <m/>
    <n v="48000"/>
    <n v="2"/>
    <s v="Bengaluru"/>
    <s v="Active"/>
    <n v="2021"/>
    <s v="0-3 Years"/>
  </r>
  <r>
    <x v="4"/>
    <x v="4"/>
    <s v="Male"/>
    <n v="39"/>
    <x v="4"/>
    <d v="2017-05-11T00:00:00"/>
    <m/>
    <n v="65000"/>
    <n v="12"/>
    <s v="Chennai"/>
    <s v="Active"/>
    <n v="2017"/>
    <s v="9-15 Years"/>
  </r>
  <r>
    <x v="5"/>
    <x v="5"/>
    <s v="Female"/>
    <n v="29"/>
    <x v="5"/>
    <s v="20/08/2020"/>
    <m/>
    <n v="47000"/>
    <n v="5"/>
    <s v="Delhi"/>
    <s v="Active"/>
    <n v="2020"/>
    <s v="4-8 Years"/>
  </r>
  <r>
    <x v="6"/>
    <x v="6"/>
    <s v="Male"/>
    <n v="34"/>
    <x v="0"/>
    <s v="15/04/2018"/>
    <m/>
    <n v="60000"/>
    <n v="9"/>
    <s v="Jaipur"/>
    <s v="Active"/>
    <n v="2018"/>
    <s v="9-15 Years"/>
  </r>
  <r>
    <x v="7"/>
    <x v="7"/>
    <s v="Female"/>
    <n v="41"/>
    <x v="2"/>
    <d v="2014-01-02T00:00:00"/>
    <m/>
    <n v="85000"/>
    <n v="15"/>
    <s v="Mumbai"/>
    <s v="Active"/>
    <n v="2014"/>
    <s v="9-15 Years"/>
  </r>
  <r>
    <x v="8"/>
    <x v="8"/>
    <s v="Male"/>
    <n v="31"/>
    <x v="3"/>
    <d v="2019-09-09T00:00:00"/>
    <m/>
    <n v="55000"/>
    <n v="6"/>
    <s v="Hyderabad"/>
    <s v="Active"/>
    <n v="2019"/>
    <s v="4-8 Years"/>
  </r>
  <r>
    <x v="9"/>
    <x v="9"/>
    <s v="Female"/>
    <n v="27"/>
    <x v="1"/>
    <d v="2022-11-01T00:00:00"/>
    <m/>
    <n v="42000"/>
    <n v="2"/>
    <s v="Noida"/>
    <s v="Active"/>
    <n v="2022"/>
    <s v="0-3 Years"/>
  </r>
  <r>
    <x v="10"/>
    <x v="10"/>
    <s v="Male"/>
    <n v="50"/>
    <x v="4"/>
    <s v="25/05/2010"/>
    <d v="2022-12-12T00:00:00"/>
    <n v="110000"/>
    <n v="25"/>
    <s v="Chennai"/>
    <s v="Exited"/>
    <n v="2010"/>
    <s v="15+ Years"/>
  </r>
  <r>
    <x v="11"/>
    <x v="11"/>
    <s v="Female"/>
    <n v="36"/>
    <x v="5"/>
    <s v="17/03/2016"/>
    <m/>
    <n v="72000"/>
    <n v="11"/>
    <s v="Pune"/>
    <s v="Active"/>
    <n v="2016"/>
    <s v="9-15 Years"/>
  </r>
  <r>
    <x v="12"/>
    <x v="12"/>
    <s v="Male"/>
    <n v="24"/>
    <x v="3"/>
    <d v="2023-01-07T00:00:00"/>
    <m/>
    <n v="35000"/>
    <n v="1"/>
    <s v="Bengaluru"/>
    <s v="Active"/>
    <n v="2023"/>
    <s v="0-3 Years"/>
  </r>
  <r>
    <x v="13"/>
    <x v="13"/>
    <s v="Female"/>
    <n v="30"/>
    <x v="0"/>
    <s v="21/10/2019"/>
    <m/>
    <n v="58000"/>
    <n v="6"/>
    <s v="Amritsar"/>
    <s v="Active"/>
    <n v="2019"/>
    <s v="4-8 Years"/>
  </r>
  <r>
    <x v="14"/>
    <x v="14"/>
    <s v="Male"/>
    <n v="42"/>
    <x v="2"/>
    <s v="14/12/2012"/>
    <m/>
    <n v="95000"/>
    <n v="20"/>
    <s v="Delhi"/>
    <s v="Active"/>
    <n v="2012"/>
    <s v="15+ Years"/>
  </r>
  <r>
    <x v="15"/>
    <x v="15"/>
    <s v="Female"/>
    <n v="35"/>
    <x v="1"/>
    <s v="19/06/2017"/>
    <m/>
    <n v="62000"/>
    <n v="10"/>
    <s v="Jaipur"/>
    <s v="Active"/>
    <n v="2017"/>
    <s v="9-15 Years"/>
  </r>
  <r>
    <x v="16"/>
    <x v="16"/>
    <s v="Male"/>
    <n v="29"/>
    <x v="4"/>
    <d v="2021-08-02T00:00:00"/>
    <m/>
    <n v="50000"/>
    <n v="4"/>
    <s v="Indore"/>
    <s v="Active"/>
    <n v="2021"/>
    <s v="4-8 Years"/>
  </r>
  <r>
    <x v="17"/>
    <x v="17"/>
    <s v="Female"/>
    <n v="38"/>
    <x v="5"/>
    <s v="27/09/2015"/>
    <m/>
    <n v="78000"/>
    <n v="13"/>
    <s v="Kolkata"/>
    <s v="Active"/>
    <n v="2015"/>
    <s v="9-15 Years"/>
  </r>
  <r>
    <x v="18"/>
    <x v="18"/>
    <s v="Male"/>
    <n v="33"/>
    <x v="3"/>
    <d v="2019-03-03T00:00:00"/>
    <m/>
    <n v="61000"/>
    <n v="7"/>
    <s v="Gurgaon"/>
    <s v="Active"/>
    <n v="2019"/>
    <s v="4-8 Years"/>
  </r>
  <r>
    <x v="19"/>
    <x v="19"/>
    <s v="Female"/>
    <n v="46"/>
    <x v="0"/>
    <d v="2011-11-11T00:00:00"/>
    <s v="30/06/2023"/>
    <n v="88000"/>
    <n v="21"/>
    <s v="Mumbai"/>
    <s v="Exited"/>
    <n v="2011"/>
    <s v="15+ Years"/>
  </r>
  <r>
    <x v="20"/>
    <x v="20"/>
    <s v="Male"/>
    <n v="27"/>
    <x v="5"/>
    <d v="2022-05-05T00:00:00"/>
    <m/>
    <n v="41000"/>
    <n v="2"/>
    <s v="Delhi"/>
    <s v="Active"/>
    <n v="2022"/>
    <s v="0-3 Years"/>
  </r>
  <r>
    <x v="21"/>
    <x v="21"/>
    <s v="Female"/>
    <n v="34"/>
    <x v="2"/>
    <s v="14/08/2018"/>
    <m/>
    <n v="70000"/>
    <n v="9"/>
    <s v="Pune"/>
    <s v="Active"/>
    <n v="2018"/>
    <s v="9-15 Years"/>
  </r>
  <r>
    <x v="22"/>
    <x v="22"/>
    <s v="Male"/>
    <n v="40"/>
    <x v="4"/>
    <d v="2014-09-09T00:00:00"/>
    <m/>
    <n v="68000"/>
    <n v="15"/>
    <s v="Nagpur"/>
    <s v="Active"/>
    <n v="2014"/>
    <s v="9-15 Years"/>
  </r>
  <r>
    <x v="23"/>
    <x v="23"/>
    <s v="Female"/>
    <n v="31"/>
    <x v="3"/>
    <s v="23/01/2020"/>
    <m/>
    <n v="59000"/>
    <n v="6"/>
    <s v="Noida"/>
    <s v="Active"/>
    <n v="2020"/>
    <s v="4-8 Years"/>
  </r>
  <r>
    <x v="24"/>
    <x v="24"/>
    <s v="Male"/>
    <n v="48"/>
    <x v="1"/>
    <s v="17/06/2010"/>
    <s v="28/02/2022"/>
    <n v="82000"/>
    <n v="22"/>
    <s v="Bhopal"/>
    <s v="Exited"/>
    <n v="2010"/>
    <s v="15+ Years"/>
  </r>
  <r>
    <x v="25"/>
    <x v="25"/>
    <s v="Female"/>
    <n v="29"/>
    <x v="0"/>
    <d v="2021-04-04T00:00:00"/>
    <m/>
    <n v="46000"/>
    <n v="3"/>
    <s v="Surat"/>
    <s v="Active"/>
    <n v="2021"/>
    <s v="0-3 Years"/>
  </r>
  <r>
    <x v="26"/>
    <x v="26"/>
    <s v="Male"/>
    <n v="36"/>
    <x v="2"/>
    <d v="2016-11-10T00:00:00"/>
    <m/>
    <n v="88000"/>
    <n v="11"/>
    <s v="Indore"/>
    <s v="Active"/>
    <n v="2016"/>
    <s v="9-15 Years"/>
  </r>
  <r>
    <x v="27"/>
    <x v="27"/>
    <s v="Female"/>
    <n v="25"/>
    <x v="5"/>
    <s v="15/12/2022"/>
    <m/>
    <n v="36000"/>
    <n v="1"/>
    <s v="Jaipur"/>
    <s v="Active"/>
    <n v="2022"/>
    <s v="0-3 Years"/>
  </r>
  <r>
    <x v="28"/>
    <x v="28"/>
    <s v="Male"/>
    <n v="44"/>
    <x v="3"/>
    <s v="19/07/2013"/>
    <m/>
    <n v="92000"/>
    <n v="17"/>
    <s v="Pune"/>
    <s v="Active"/>
    <n v="2013"/>
    <s v="15+ Years"/>
  </r>
  <r>
    <x v="29"/>
    <x v="29"/>
    <s v="Female"/>
    <n v="37"/>
    <x v="4"/>
    <d v="2016-02-02T00:00:00"/>
    <m/>
    <n v="73000"/>
    <n v="12"/>
    <s v="Chandigarh"/>
    <s v="Active"/>
    <n v="2016"/>
    <s v="9-15 Years"/>
  </r>
  <r>
    <x v="30"/>
    <x v="30"/>
    <s v="Male"/>
    <n v="52"/>
    <x v="0"/>
    <d v="2008-01-01T00:00:00"/>
    <s v="31/03/2021"/>
    <n v="105000"/>
    <n v="28"/>
    <s v="Delhi"/>
    <s v="Exited"/>
    <n v="2008"/>
    <s v="15+ Years"/>
  </r>
  <r>
    <x v="31"/>
    <x v="31"/>
    <s v="Female"/>
    <n v="28"/>
    <x v="1"/>
    <d v="2021-12-09T00:00:00"/>
    <m/>
    <n v="48000"/>
    <n v="3"/>
    <s v="Mumbai"/>
    <s v="Active"/>
    <n v="2021"/>
    <s v="0-3 Years"/>
  </r>
  <r>
    <x v="32"/>
    <x v="32"/>
    <s v="Male"/>
    <n v="35"/>
    <x v="5"/>
    <d v="2017-06-06T00:00:00"/>
    <m/>
    <n v="64000"/>
    <n v="8"/>
    <s v="Lucknow"/>
    <s v="Active"/>
    <n v="2017"/>
    <s v="4-8 Years"/>
  </r>
  <r>
    <x v="33"/>
    <x v="33"/>
    <s v="Female"/>
    <n v="41"/>
    <x v="2"/>
    <s v="18/03/2012"/>
    <m/>
    <n v="90000"/>
    <n v="19"/>
    <s v="Ahmedabad"/>
    <s v="Active"/>
    <n v="2012"/>
    <s v="15+ Years"/>
  </r>
  <r>
    <x v="34"/>
    <x v="34"/>
    <s v="Male"/>
    <n v="26"/>
    <x v="3"/>
    <s v="25/08/2022"/>
    <m/>
    <n v="38000"/>
    <n v="1"/>
    <s v="Bhopal"/>
    <s v="Active"/>
    <n v="2022"/>
    <s v="0-3 Years"/>
  </r>
  <r>
    <x v="35"/>
    <x v="35"/>
    <s v="Female"/>
    <n v="33"/>
    <x v="0"/>
    <d v="2019-09-11T00:00:00"/>
    <m/>
    <n v="57000"/>
    <n v="7"/>
    <s v="Pune"/>
    <s v="Active"/>
    <n v="2019"/>
    <s v="4-8 Years"/>
  </r>
  <r>
    <x v="36"/>
    <x v="36"/>
    <s v="Male"/>
    <n v="39"/>
    <x v="4"/>
    <s v="14/04/2015"/>
    <m/>
    <n v="69000"/>
    <n v="14"/>
    <s v="Jodhpur"/>
    <s v="Active"/>
    <n v="2015"/>
    <s v="9-15 Years"/>
  </r>
  <r>
    <x v="37"/>
    <x v="37"/>
    <s v="Female"/>
    <n v="47"/>
    <x v="1"/>
    <s v="20/02/2011"/>
    <m/>
    <n v="85000"/>
    <n v="23"/>
    <s v="Delhi"/>
    <s v="Active"/>
    <n v="2011"/>
    <s v="15+ Years"/>
  </r>
  <r>
    <x v="38"/>
    <x v="38"/>
    <s v="Male"/>
    <n v="30"/>
    <x v="5"/>
    <d v="2020-07-07T00:00:00"/>
    <m/>
    <n v="52000"/>
    <n v="4"/>
    <s v="Noida"/>
    <s v="Active"/>
    <n v="2020"/>
    <s v="4-8 Years"/>
  </r>
  <r>
    <x v="39"/>
    <x v="39"/>
    <s v="Female"/>
    <n v="35"/>
    <x v="3"/>
    <d v="2018-03-03T00:00:00"/>
    <m/>
    <n v="64000"/>
    <n v="9"/>
    <s v="Gurgaon"/>
    <s v="Active"/>
    <n v="2018"/>
    <s v="9-15 Years"/>
  </r>
  <r>
    <x v="40"/>
    <x v="40"/>
    <s v="Male"/>
    <n v="43"/>
    <x v="2"/>
    <s v="16/10/2012"/>
    <m/>
    <n v="98000"/>
    <n v="18"/>
    <s v="Jaipur"/>
    <s v="Active"/>
    <n v="2012"/>
    <s v="15+ Years"/>
  </r>
  <r>
    <x v="41"/>
    <x v="41"/>
    <s v="Female"/>
    <n v="29"/>
    <x v="0"/>
    <s v="27/05/2021"/>
    <m/>
    <n v="47000"/>
    <n v="3"/>
    <s v="Udaipur"/>
    <s v="Active"/>
    <n v="2021"/>
    <s v="0-3 Years"/>
  </r>
  <r>
    <x v="42"/>
    <x v="42"/>
    <s v="Male"/>
    <n v="34"/>
    <x v="4"/>
    <d v="2019-10-01T00:00:00"/>
    <m/>
    <n v="61000"/>
    <n v="6"/>
    <s v="Nashik"/>
    <s v="Active"/>
    <n v="2019"/>
    <s v="4-8 Years"/>
  </r>
  <r>
    <x v="43"/>
    <x v="43"/>
    <s v="Female"/>
    <n v="38"/>
    <x v="5"/>
    <s v="22/08/2015"/>
    <m/>
    <n v="75000"/>
    <n v="12"/>
    <s v="Indore"/>
    <s v="Active"/>
    <n v="2015"/>
    <s v="9-15 Years"/>
  </r>
  <r>
    <x v="44"/>
    <x v="44"/>
    <s v="Male"/>
    <n v="28"/>
    <x v="3"/>
    <d v="2022-05-05T00:00:00"/>
    <m/>
    <n v="42000"/>
    <n v="2"/>
    <s v="Raipur"/>
    <s v="Active"/>
    <n v="2022"/>
    <s v="0-3 Years"/>
  </r>
  <r>
    <x v="45"/>
    <x v="45"/>
    <s v="Female"/>
    <n v="31"/>
    <x v="1"/>
    <d v="2019-11-11T00:00:00"/>
    <m/>
    <n v="56000"/>
    <n v="6"/>
    <s v="Dehradun"/>
    <s v="Active"/>
    <n v="2019"/>
    <s v="4-8 Years"/>
  </r>
  <r>
    <x v="46"/>
    <x v="46"/>
    <s v="Male"/>
    <n v="46"/>
    <x v="0"/>
    <s v="18/02/2010"/>
    <m/>
    <n v="94000"/>
    <n v="22"/>
    <s v="Meerut"/>
    <s v="Active"/>
    <n v="2010"/>
    <s v="15+ Years"/>
  </r>
  <r>
    <x v="47"/>
    <x v="47"/>
    <s v="Female"/>
    <n v="27"/>
    <x v="2"/>
    <s v="30/06/2021"/>
    <m/>
    <n v="48000"/>
    <n v="3"/>
    <s v="Bilaspur"/>
    <s v="Active"/>
    <n v="2021"/>
    <s v="0-3 Years"/>
  </r>
  <r>
    <x v="48"/>
    <x v="48"/>
    <s v="Male"/>
    <n v="50"/>
    <x v="4"/>
    <d v="2009-09-09T00:00:00"/>
    <m/>
    <n v="102000"/>
    <n v="26"/>
    <s v="Patna"/>
    <s v="Active"/>
    <n v="2009"/>
    <s v="15+ Years"/>
  </r>
  <r>
    <x v="49"/>
    <x v="49"/>
    <s v="Female"/>
    <n v="34"/>
    <x v="3"/>
    <d v="2018-01-01T00:00:00"/>
    <m/>
    <n v="66000"/>
    <n v="8"/>
    <s v="Trivandrum"/>
    <s v="Active"/>
    <n v="2018"/>
    <s v="4-8 Year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E001"/>
    <s v="Rahul"/>
    <x v="0"/>
    <n v="28"/>
    <x v="0"/>
    <d v="2020-12-03T00:00:00"/>
    <m/>
    <n v="45000"/>
    <n v="4"/>
    <x v="0"/>
    <s v="Active"/>
    <x v="0"/>
    <x v="0"/>
  </r>
  <r>
    <s v="E002"/>
    <s v="Priya"/>
    <x v="1"/>
    <n v="32"/>
    <x v="1"/>
    <s v="18/07/2019"/>
    <m/>
    <n v="52000"/>
    <n v="7"/>
    <x v="1"/>
    <s v="Active"/>
    <x v="1"/>
    <x v="0"/>
  </r>
  <r>
    <s v="E003"/>
    <s v="Amit"/>
    <x v="0"/>
    <n v="45"/>
    <x v="2"/>
    <d v="2015-02-01T00:00:00"/>
    <s v="15/09/2023"/>
    <n v="90000"/>
    <n v="18"/>
    <x v="2"/>
    <s v="Exited"/>
    <x v="2"/>
    <x v="1"/>
  </r>
  <r>
    <s v="E004"/>
    <s v="Neha"/>
    <x v="1"/>
    <n v="26"/>
    <x v="3"/>
    <d v="2021-10-06T00:00:00"/>
    <m/>
    <n v="48000"/>
    <n v="2"/>
    <x v="3"/>
    <s v="Active"/>
    <x v="3"/>
    <x v="2"/>
  </r>
  <r>
    <s v="E005"/>
    <s v="Karan"/>
    <x v="0"/>
    <n v="39"/>
    <x v="4"/>
    <d v="2017-05-11T00:00:00"/>
    <m/>
    <n v="65000"/>
    <n v="12"/>
    <x v="4"/>
    <s v="Active"/>
    <x v="4"/>
    <x v="3"/>
  </r>
  <r>
    <s v="E006"/>
    <s v="Sneha"/>
    <x v="1"/>
    <n v="29"/>
    <x v="5"/>
    <s v="20/08/2020"/>
    <m/>
    <n v="47000"/>
    <n v="5"/>
    <x v="0"/>
    <s v="Active"/>
    <x v="0"/>
    <x v="0"/>
  </r>
  <r>
    <s v="E007"/>
    <s v="Arjun"/>
    <x v="0"/>
    <n v="34"/>
    <x v="0"/>
    <s v="15/04/2018"/>
    <m/>
    <n v="60000"/>
    <n v="9"/>
    <x v="5"/>
    <s v="Active"/>
    <x v="5"/>
    <x v="3"/>
  </r>
  <r>
    <s v="E008"/>
    <s v="Pooja"/>
    <x v="1"/>
    <n v="41"/>
    <x v="2"/>
    <d v="2014-01-02T00:00:00"/>
    <m/>
    <n v="85000"/>
    <n v="15"/>
    <x v="1"/>
    <s v="Active"/>
    <x v="6"/>
    <x v="3"/>
  </r>
  <r>
    <s v="E009"/>
    <s v="Vikram"/>
    <x v="0"/>
    <n v="31"/>
    <x v="3"/>
    <d v="2019-09-09T00:00:00"/>
    <m/>
    <n v="55000"/>
    <n v="6"/>
    <x v="6"/>
    <s v="Active"/>
    <x v="1"/>
    <x v="0"/>
  </r>
  <r>
    <s v="E010"/>
    <s v="Ritu"/>
    <x v="1"/>
    <n v="27"/>
    <x v="1"/>
    <d v="2022-11-01T00:00:00"/>
    <m/>
    <n v="42000"/>
    <n v="2"/>
    <x v="7"/>
    <s v="Active"/>
    <x v="7"/>
    <x v="2"/>
  </r>
  <r>
    <s v="E011"/>
    <s v="Suresh"/>
    <x v="0"/>
    <n v="50"/>
    <x v="4"/>
    <s v="25/05/2010"/>
    <d v="2022-12-12T00:00:00"/>
    <n v="110000"/>
    <n v="25"/>
    <x v="4"/>
    <s v="Exited"/>
    <x v="8"/>
    <x v="1"/>
  </r>
  <r>
    <s v="E012"/>
    <s v="Anjali"/>
    <x v="1"/>
    <n v="36"/>
    <x v="5"/>
    <s v="17/03/2016"/>
    <m/>
    <n v="72000"/>
    <n v="11"/>
    <x v="2"/>
    <s v="Active"/>
    <x v="9"/>
    <x v="3"/>
  </r>
  <r>
    <s v="E013"/>
    <s v="Rohit"/>
    <x v="0"/>
    <n v="24"/>
    <x v="3"/>
    <d v="2023-01-07T00:00:00"/>
    <m/>
    <n v="35000"/>
    <n v="1"/>
    <x v="3"/>
    <s v="Active"/>
    <x v="10"/>
    <x v="2"/>
  </r>
  <r>
    <s v="E014"/>
    <s v="Simran"/>
    <x v="1"/>
    <n v="30"/>
    <x v="0"/>
    <s v="21/10/2019"/>
    <m/>
    <n v="58000"/>
    <n v="6"/>
    <x v="8"/>
    <s v="Active"/>
    <x v="1"/>
    <x v="0"/>
  </r>
  <r>
    <s v="E015"/>
    <s v="Deepak"/>
    <x v="0"/>
    <n v="42"/>
    <x v="2"/>
    <s v="14/12/2012"/>
    <m/>
    <n v="95000"/>
    <n v="20"/>
    <x v="0"/>
    <s v="Active"/>
    <x v="11"/>
    <x v="1"/>
  </r>
  <r>
    <s v="E016"/>
    <s v="Kavita"/>
    <x v="1"/>
    <n v="35"/>
    <x v="1"/>
    <s v="19/06/2017"/>
    <m/>
    <n v="62000"/>
    <n v="10"/>
    <x v="5"/>
    <s v="Active"/>
    <x v="4"/>
    <x v="3"/>
  </r>
  <r>
    <s v="E017"/>
    <s v="Manoj"/>
    <x v="0"/>
    <n v="29"/>
    <x v="4"/>
    <d v="2021-08-02T00:00:00"/>
    <m/>
    <n v="50000"/>
    <n v="4"/>
    <x v="9"/>
    <s v="Active"/>
    <x v="3"/>
    <x v="0"/>
  </r>
  <r>
    <s v="E018"/>
    <s v="Rina"/>
    <x v="1"/>
    <n v="38"/>
    <x v="5"/>
    <s v="27/09/2015"/>
    <m/>
    <n v="78000"/>
    <n v="13"/>
    <x v="10"/>
    <s v="Active"/>
    <x v="2"/>
    <x v="3"/>
  </r>
  <r>
    <s v="E019"/>
    <s v="Nitin"/>
    <x v="0"/>
    <n v="33"/>
    <x v="3"/>
    <d v="2019-03-03T00:00:00"/>
    <m/>
    <n v="61000"/>
    <n v="7"/>
    <x v="11"/>
    <s v="Active"/>
    <x v="1"/>
    <x v="0"/>
  </r>
  <r>
    <s v="E020"/>
    <s v="Shalini"/>
    <x v="1"/>
    <n v="46"/>
    <x v="0"/>
    <d v="2011-11-11T00:00:00"/>
    <s v="30/06/2023"/>
    <n v="88000"/>
    <n v="21"/>
    <x v="1"/>
    <s v="Exited"/>
    <x v="12"/>
    <x v="1"/>
  </r>
  <r>
    <s v="E021"/>
    <s v="Akash"/>
    <x v="0"/>
    <n v="27"/>
    <x v="5"/>
    <d v="2022-05-05T00:00:00"/>
    <m/>
    <n v="41000"/>
    <n v="2"/>
    <x v="0"/>
    <s v="Active"/>
    <x v="7"/>
    <x v="2"/>
  </r>
  <r>
    <s v="E022"/>
    <s v="Pallavi"/>
    <x v="1"/>
    <n v="34"/>
    <x v="2"/>
    <s v="14/08/2018"/>
    <m/>
    <n v="70000"/>
    <n v="9"/>
    <x v="2"/>
    <s v="Active"/>
    <x v="5"/>
    <x v="3"/>
  </r>
  <r>
    <s v="E023"/>
    <s v="Raj"/>
    <x v="0"/>
    <n v="40"/>
    <x v="4"/>
    <d v="2014-09-09T00:00:00"/>
    <m/>
    <n v="68000"/>
    <n v="15"/>
    <x v="12"/>
    <s v="Active"/>
    <x v="6"/>
    <x v="3"/>
  </r>
  <r>
    <s v="E024"/>
    <s v="Tanya"/>
    <x v="1"/>
    <n v="31"/>
    <x v="3"/>
    <s v="23/01/2020"/>
    <m/>
    <n v="59000"/>
    <n v="6"/>
    <x v="7"/>
    <s v="Active"/>
    <x v="0"/>
    <x v="0"/>
  </r>
  <r>
    <s v="E025"/>
    <s v="Sanjay"/>
    <x v="0"/>
    <n v="48"/>
    <x v="1"/>
    <s v="17/06/2010"/>
    <s v="28/02/2022"/>
    <n v="82000"/>
    <n v="22"/>
    <x v="13"/>
    <s v="Exited"/>
    <x v="8"/>
    <x v="1"/>
  </r>
  <r>
    <s v="E026"/>
    <s v="Meena"/>
    <x v="1"/>
    <n v="29"/>
    <x v="0"/>
    <d v="2021-04-04T00:00:00"/>
    <m/>
    <n v="46000"/>
    <n v="3"/>
    <x v="14"/>
    <s v="Active"/>
    <x v="3"/>
    <x v="2"/>
  </r>
  <r>
    <s v="E027"/>
    <s v="Vivek"/>
    <x v="0"/>
    <n v="36"/>
    <x v="2"/>
    <d v="2016-11-10T00:00:00"/>
    <m/>
    <n v="88000"/>
    <n v="11"/>
    <x v="9"/>
    <s v="Active"/>
    <x v="9"/>
    <x v="3"/>
  </r>
  <r>
    <s v="E028"/>
    <s v="Priyanshi"/>
    <x v="1"/>
    <n v="25"/>
    <x v="5"/>
    <s v="15/12/2022"/>
    <m/>
    <n v="36000"/>
    <n v="1"/>
    <x v="5"/>
    <s v="Active"/>
    <x v="7"/>
    <x v="2"/>
  </r>
  <r>
    <s v="E029"/>
    <s v="Ajay"/>
    <x v="0"/>
    <n v="44"/>
    <x v="3"/>
    <s v="19/07/2013"/>
    <m/>
    <n v="92000"/>
    <n v="17"/>
    <x v="2"/>
    <s v="Active"/>
    <x v="13"/>
    <x v="1"/>
  </r>
  <r>
    <s v="E030"/>
    <s v="Nisha"/>
    <x v="1"/>
    <n v="37"/>
    <x v="4"/>
    <d v="2016-02-02T00:00:00"/>
    <m/>
    <n v="73000"/>
    <n v="12"/>
    <x v="15"/>
    <s v="Active"/>
    <x v="9"/>
    <x v="3"/>
  </r>
  <r>
    <s v="E031"/>
    <s v="Rakesh"/>
    <x v="0"/>
    <n v="52"/>
    <x v="0"/>
    <d v="2008-01-01T00:00:00"/>
    <s v="31/03/2021"/>
    <n v="105000"/>
    <n v="28"/>
    <x v="0"/>
    <s v="Exited"/>
    <x v="14"/>
    <x v="1"/>
  </r>
  <r>
    <s v="E032"/>
    <s v="Isha"/>
    <x v="1"/>
    <n v="28"/>
    <x v="1"/>
    <d v="2021-12-09T00:00:00"/>
    <m/>
    <n v="48000"/>
    <n v="3"/>
    <x v="1"/>
    <s v="Active"/>
    <x v="3"/>
    <x v="2"/>
  </r>
  <r>
    <s v="E033"/>
    <s v="Manish"/>
    <x v="0"/>
    <n v="35"/>
    <x v="5"/>
    <d v="2017-06-06T00:00:00"/>
    <m/>
    <n v="64000"/>
    <n v="8"/>
    <x v="16"/>
    <s v="Active"/>
    <x v="4"/>
    <x v="0"/>
  </r>
  <r>
    <s v="E034"/>
    <s v="Payal"/>
    <x v="1"/>
    <n v="41"/>
    <x v="2"/>
    <s v="18/03/2012"/>
    <m/>
    <n v="90000"/>
    <n v="19"/>
    <x v="17"/>
    <s v="Active"/>
    <x v="11"/>
    <x v="1"/>
  </r>
  <r>
    <s v="E035"/>
    <s v="Ankit"/>
    <x v="0"/>
    <n v="26"/>
    <x v="3"/>
    <s v="25/08/2022"/>
    <m/>
    <n v="38000"/>
    <n v="1"/>
    <x v="13"/>
    <s v="Active"/>
    <x v="7"/>
    <x v="2"/>
  </r>
  <r>
    <s v="E036"/>
    <s v="Sonal"/>
    <x v="1"/>
    <n v="33"/>
    <x v="0"/>
    <d v="2019-09-11T00:00:00"/>
    <m/>
    <n v="57000"/>
    <n v="7"/>
    <x v="2"/>
    <s v="Active"/>
    <x v="1"/>
    <x v="0"/>
  </r>
  <r>
    <s v="E037"/>
    <s v="Kuldeep"/>
    <x v="0"/>
    <n v="39"/>
    <x v="4"/>
    <s v="14/04/2015"/>
    <m/>
    <n v="69000"/>
    <n v="14"/>
    <x v="18"/>
    <s v="Active"/>
    <x v="2"/>
    <x v="3"/>
  </r>
  <r>
    <s v="E038"/>
    <s v="Rekha"/>
    <x v="1"/>
    <n v="47"/>
    <x v="1"/>
    <s v="20/02/2011"/>
    <m/>
    <n v="85000"/>
    <n v="23"/>
    <x v="0"/>
    <s v="Active"/>
    <x v="12"/>
    <x v="1"/>
  </r>
  <r>
    <s v="E039"/>
    <s v="Varun"/>
    <x v="0"/>
    <n v="30"/>
    <x v="5"/>
    <d v="2020-07-07T00:00:00"/>
    <m/>
    <n v="52000"/>
    <n v="4"/>
    <x v="7"/>
    <s v="Active"/>
    <x v="0"/>
    <x v="0"/>
  </r>
  <r>
    <s v="E040"/>
    <s v="Poonam"/>
    <x v="1"/>
    <n v="35"/>
    <x v="3"/>
    <d v="2018-03-03T00:00:00"/>
    <m/>
    <n v="64000"/>
    <n v="9"/>
    <x v="11"/>
    <s v="Active"/>
    <x v="5"/>
    <x v="3"/>
  </r>
  <r>
    <s v="E041"/>
    <s v="Mukesh"/>
    <x v="0"/>
    <n v="43"/>
    <x v="2"/>
    <s v="16/10/2012"/>
    <m/>
    <n v="98000"/>
    <n v="18"/>
    <x v="5"/>
    <s v="Active"/>
    <x v="11"/>
    <x v="1"/>
  </r>
  <r>
    <s v="E042"/>
    <s v="Aarti"/>
    <x v="1"/>
    <n v="29"/>
    <x v="0"/>
    <s v="27/05/2021"/>
    <m/>
    <n v="47000"/>
    <n v="3"/>
    <x v="19"/>
    <s v="Active"/>
    <x v="3"/>
    <x v="2"/>
  </r>
  <r>
    <s v="E043"/>
    <s v="Sachin"/>
    <x v="0"/>
    <n v="34"/>
    <x v="4"/>
    <d v="2019-10-01T00:00:00"/>
    <m/>
    <n v="61000"/>
    <n v="6"/>
    <x v="20"/>
    <s v="Active"/>
    <x v="1"/>
    <x v="0"/>
  </r>
  <r>
    <s v="E044"/>
    <s v="Kajal"/>
    <x v="1"/>
    <n v="38"/>
    <x v="5"/>
    <s v="22/08/2015"/>
    <m/>
    <n v="75000"/>
    <n v="12"/>
    <x v="9"/>
    <s v="Active"/>
    <x v="2"/>
    <x v="3"/>
  </r>
  <r>
    <s v="E045"/>
    <s v="Harsh"/>
    <x v="0"/>
    <n v="28"/>
    <x v="3"/>
    <d v="2022-05-05T00:00:00"/>
    <m/>
    <n v="42000"/>
    <n v="2"/>
    <x v="21"/>
    <s v="Active"/>
    <x v="7"/>
    <x v="2"/>
  </r>
  <r>
    <s v="E046"/>
    <s v="Divya"/>
    <x v="1"/>
    <n v="31"/>
    <x v="1"/>
    <d v="2019-11-11T00:00:00"/>
    <m/>
    <n v="56000"/>
    <n v="6"/>
    <x v="22"/>
    <s v="Active"/>
    <x v="1"/>
    <x v="0"/>
  </r>
  <r>
    <s v="E047"/>
    <s v="Pankaj"/>
    <x v="0"/>
    <n v="46"/>
    <x v="0"/>
    <s v="18/02/2010"/>
    <m/>
    <n v="94000"/>
    <n v="22"/>
    <x v="23"/>
    <s v="Active"/>
    <x v="8"/>
    <x v="1"/>
  </r>
  <r>
    <s v="E048"/>
    <s v="Namita"/>
    <x v="1"/>
    <n v="27"/>
    <x v="2"/>
    <s v="30/06/2021"/>
    <m/>
    <n v="48000"/>
    <n v="3"/>
    <x v="24"/>
    <s v="Active"/>
    <x v="3"/>
    <x v="2"/>
  </r>
  <r>
    <s v="E049"/>
    <s v="Rajesh"/>
    <x v="0"/>
    <n v="50"/>
    <x v="4"/>
    <d v="2009-09-09T00:00:00"/>
    <m/>
    <n v="102000"/>
    <n v="26"/>
    <x v="25"/>
    <s v="Active"/>
    <x v="15"/>
    <x v="1"/>
  </r>
  <r>
    <s v="E050"/>
    <s v="Kiran"/>
    <x v="1"/>
    <n v="34"/>
    <x v="3"/>
    <d v="2018-01-01T00:00:00"/>
    <m/>
    <n v="66000"/>
    <n v="8"/>
    <x v="26"/>
    <s v="Active"/>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05B206-F0D7-4AF7-87CF-DB09CE1A88A0}"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P4:Q21" firstHeaderRow="1" firstDataRow="1" firstDataCol="1"/>
  <pivotFields count="13">
    <pivotField showAll="0"/>
    <pivotField showAll="0"/>
    <pivotField showAll="0">
      <items count="3">
        <item x="1"/>
        <item x="0"/>
        <item t="default"/>
      </items>
    </pivotField>
    <pivotField showAll="0"/>
    <pivotField showAll="0">
      <items count="7">
        <item x="2"/>
        <item x="1"/>
        <item x="3"/>
        <item x="5"/>
        <item x="4"/>
        <item x="0"/>
        <item t="default"/>
      </items>
    </pivotField>
    <pivotField showAll="0"/>
    <pivotField showAll="0"/>
    <pivotField dataField="1" showAll="0"/>
    <pivotField numFmtId="1" showAll="0"/>
    <pivotField showAll="0">
      <items count="28">
        <item x="0"/>
        <item x="25"/>
        <item x="6"/>
        <item x="5"/>
        <item x="17"/>
        <item x="8"/>
        <item x="3"/>
        <item x="13"/>
        <item x="24"/>
        <item x="15"/>
        <item x="4"/>
        <item x="22"/>
        <item x="11"/>
        <item x="9"/>
        <item x="18"/>
        <item x="10"/>
        <item x="16"/>
        <item x="23"/>
        <item x="1"/>
        <item x="12"/>
        <item x="20"/>
        <item x="7"/>
        <item x="2"/>
        <item x="21"/>
        <item x="14"/>
        <item x="26"/>
        <item x="19"/>
        <item t="default"/>
      </items>
    </pivotField>
    <pivotField showAll="0"/>
    <pivotField axis="axisRow" showAll="0">
      <items count="17">
        <item x="14"/>
        <item x="15"/>
        <item x="8"/>
        <item x="12"/>
        <item x="11"/>
        <item x="13"/>
        <item x="6"/>
        <item x="2"/>
        <item x="9"/>
        <item x="4"/>
        <item x="5"/>
        <item x="1"/>
        <item x="0"/>
        <item x="3"/>
        <item x="7"/>
        <item x="10"/>
        <item t="default"/>
      </items>
    </pivotField>
    <pivotField showAll="0"/>
  </pivotFields>
  <rowFields count="1">
    <field x="11"/>
  </rowFields>
  <rowItems count="17">
    <i>
      <x/>
    </i>
    <i>
      <x v="1"/>
    </i>
    <i>
      <x v="2"/>
    </i>
    <i>
      <x v="3"/>
    </i>
    <i>
      <x v="4"/>
    </i>
    <i>
      <x v="5"/>
    </i>
    <i>
      <x v="6"/>
    </i>
    <i>
      <x v="7"/>
    </i>
    <i>
      <x v="8"/>
    </i>
    <i>
      <x v="9"/>
    </i>
    <i>
      <x v="10"/>
    </i>
    <i>
      <x v="11"/>
    </i>
    <i>
      <x v="12"/>
    </i>
    <i>
      <x v="13"/>
    </i>
    <i>
      <x v="14"/>
    </i>
    <i>
      <x v="15"/>
    </i>
    <i t="grand">
      <x/>
    </i>
  </rowItems>
  <colItems count="1">
    <i/>
  </colItems>
  <dataFields count="1">
    <dataField name="Sum of Salary" fld="7"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1" count="1" selected="0">
            <x v="0"/>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6"/>
          </reference>
        </references>
      </pivotArea>
    </chartFormat>
    <chartFormat chart="0" format="7">
      <pivotArea type="data" outline="0" fieldPosition="0">
        <references count="2">
          <reference field="4294967294" count="1" selected="0">
            <x v="0"/>
          </reference>
          <reference field="11" count="1" selected="0">
            <x v="7"/>
          </reference>
        </references>
      </pivotArea>
    </chartFormat>
    <chartFormat chart="0" format="8">
      <pivotArea type="data" outline="0" fieldPosition="0">
        <references count="2">
          <reference field="4294967294" count="1" selected="0">
            <x v="0"/>
          </reference>
          <reference field="11" count="1" selected="0">
            <x v="8"/>
          </reference>
        </references>
      </pivotArea>
    </chartFormat>
    <chartFormat chart="0" format="9">
      <pivotArea type="data" outline="0" fieldPosition="0">
        <references count="2">
          <reference field="4294967294" count="1" selected="0">
            <x v="0"/>
          </reference>
          <reference field="11" count="1" selected="0">
            <x v="10"/>
          </reference>
        </references>
      </pivotArea>
    </chartFormat>
    <chartFormat chart="0" format="10">
      <pivotArea type="data" outline="0" fieldPosition="0">
        <references count="2">
          <reference field="4294967294" count="1" selected="0">
            <x v="0"/>
          </reference>
          <reference field="11" count="1" selected="0">
            <x v="5"/>
          </reference>
        </references>
      </pivotArea>
    </chartFormat>
    <chartFormat chart="0" format="11">
      <pivotArea type="data" outline="0" fieldPosition="0">
        <references count="2">
          <reference field="4294967294" count="1" selected="0">
            <x v="0"/>
          </reference>
          <reference field="11" count="1" selected="0">
            <x v="9"/>
          </reference>
        </references>
      </pivotArea>
    </chartFormat>
    <chartFormat chart="0" format="12">
      <pivotArea type="data" outline="0" fieldPosition="0">
        <references count="2">
          <reference field="4294967294" count="1" selected="0">
            <x v="0"/>
          </reference>
          <reference field="11" count="1" selected="0">
            <x v="13"/>
          </reference>
        </references>
      </pivotArea>
    </chartFormat>
    <chartFormat chart="5" format="4">
      <pivotArea type="data" outline="0" fieldPosition="0">
        <references count="2">
          <reference field="4294967294" count="1" selected="0">
            <x v="0"/>
          </reference>
          <reference field="1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012909-1FE5-44F2-A34C-C017A141B06D}"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F4:G7" firstHeaderRow="1" firstDataRow="1" firstDataCol="1"/>
  <pivotFields count="13">
    <pivotField dataField="1" showAll="0"/>
    <pivotField showAll="0"/>
    <pivotField axis="axisRow" showAll="0">
      <items count="3">
        <item x="1"/>
        <item x="0"/>
        <item t="default"/>
      </items>
    </pivotField>
    <pivotField showAll="0"/>
    <pivotField showAll="0">
      <items count="7">
        <item x="2"/>
        <item x="1"/>
        <item x="3"/>
        <item x="5"/>
        <item x="4"/>
        <item x="0"/>
        <item t="default"/>
      </items>
    </pivotField>
    <pivotField showAll="0"/>
    <pivotField showAll="0"/>
    <pivotField showAll="0"/>
    <pivotField numFmtId="1" showAll="0"/>
    <pivotField showAll="0">
      <items count="28">
        <item x="0"/>
        <item x="25"/>
        <item x="6"/>
        <item x="5"/>
        <item x="17"/>
        <item x="8"/>
        <item x="3"/>
        <item x="13"/>
        <item x="24"/>
        <item x="15"/>
        <item x="4"/>
        <item x="22"/>
        <item x="11"/>
        <item x="9"/>
        <item x="18"/>
        <item x="10"/>
        <item x="16"/>
        <item x="23"/>
        <item x="1"/>
        <item x="12"/>
        <item x="20"/>
        <item x="7"/>
        <item x="2"/>
        <item x="21"/>
        <item x="14"/>
        <item x="26"/>
        <item x="19"/>
        <item t="default"/>
      </items>
    </pivotField>
    <pivotField showAll="0"/>
    <pivotField showAll="0"/>
    <pivotField showAll="0"/>
  </pivotFields>
  <rowFields count="1">
    <field x="2"/>
  </rowFields>
  <rowItems count="3">
    <i>
      <x/>
    </i>
    <i>
      <x v="1"/>
    </i>
    <i t="grand">
      <x/>
    </i>
  </rowItems>
  <colItems count="1">
    <i/>
  </colItems>
  <dataFields count="1">
    <dataField name="Count of EmpID" fld="0" subtotal="count" baseField="0" baseItem="0"/>
  </dataFields>
  <formats count="1">
    <format dxfId="14">
      <pivotArea dataOnly="0" labelOnly="1" outline="0" axis="axisValues" fieldPosition="0"/>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F1C490-BA99-4DD8-BAEC-0750084398E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K9" firstHeaderRow="0" firstDataRow="1" firstDataCol="1"/>
  <pivotFields count="13">
    <pivotField showAll="0"/>
    <pivotField showAll="0"/>
    <pivotField showAll="0">
      <items count="3">
        <item x="1"/>
        <item x="0"/>
        <item t="default"/>
      </items>
    </pivotField>
    <pivotField showAll="0"/>
    <pivotField showAll="0">
      <items count="7">
        <item x="2"/>
        <item x="1"/>
        <item x="3"/>
        <item x="5"/>
        <item x="4"/>
        <item x="0"/>
        <item t="default"/>
      </items>
    </pivotField>
    <pivotField showAll="0"/>
    <pivotField showAll="0"/>
    <pivotField dataField="1" showAll="0"/>
    <pivotField numFmtId="1" showAll="0"/>
    <pivotField showAll="0">
      <items count="28">
        <item x="0"/>
        <item x="25"/>
        <item x="6"/>
        <item x="5"/>
        <item x="17"/>
        <item x="8"/>
        <item x="3"/>
        <item x="13"/>
        <item x="24"/>
        <item x="15"/>
        <item x="4"/>
        <item x="22"/>
        <item x="11"/>
        <item x="9"/>
        <item x="18"/>
        <item x="10"/>
        <item x="16"/>
        <item x="23"/>
        <item x="1"/>
        <item x="12"/>
        <item x="20"/>
        <item x="7"/>
        <item x="2"/>
        <item x="21"/>
        <item x="14"/>
        <item x="26"/>
        <item x="19"/>
        <item t="default"/>
      </items>
    </pivotField>
    <pivotField showAll="0"/>
    <pivotField showAll="0"/>
    <pivotField axis="axisRow" dataField="1" showAll="0">
      <items count="5">
        <item x="2"/>
        <item x="1"/>
        <item x="0"/>
        <item x="3"/>
        <item t="default"/>
      </items>
    </pivotField>
  </pivotFields>
  <rowFields count="1">
    <field x="12"/>
  </rowFields>
  <rowItems count="5">
    <i>
      <x/>
    </i>
    <i>
      <x v="1"/>
    </i>
    <i>
      <x v="2"/>
    </i>
    <i>
      <x v="3"/>
    </i>
    <i t="grand">
      <x/>
    </i>
  </rowItems>
  <colFields count="1">
    <field x="-2"/>
  </colFields>
  <colItems count="2">
    <i>
      <x/>
    </i>
    <i i="1">
      <x v="1"/>
    </i>
  </colItems>
  <dataFields count="2">
    <dataField name="Number of Employees" fld="12" subtotal="count" baseField="0" baseItem="0"/>
    <dataField name="Average of Salary" fld="7" subtotal="average" baseField="12" baseItem="0"/>
  </dataFields>
  <formats count="2">
    <format dxfId="16">
      <pivotArea collapsedLevelsAreSubtotals="1" fieldPosition="0">
        <references count="2">
          <reference field="4294967294" count="1" selected="0">
            <x v="1"/>
          </reference>
          <reference field="12" count="0"/>
        </references>
      </pivotArea>
    </format>
    <format dxfId="15">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532722-6FFD-401F-B95A-0CD03DDEF09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32" firstHeaderRow="1" firstDataRow="1" firstDataCol="1"/>
  <pivotFields count="13">
    <pivotField dataField="1" showAll="0"/>
    <pivotField showAll="0"/>
    <pivotField showAll="0">
      <items count="3">
        <item x="1"/>
        <item x="0"/>
        <item t="default"/>
      </items>
    </pivotField>
    <pivotField showAll="0"/>
    <pivotField showAll="0">
      <items count="7">
        <item x="2"/>
        <item x="1"/>
        <item x="3"/>
        <item x="5"/>
        <item x="4"/>
        <item x="0"/>
        <item t="default"/>
      </items>
    </pivotField>
    <pivotField showAll="0"/>
    <pivotField showAll="0"/>
    <pivotField showAll="0"/>
    <pivotField numFmtId="1" showAll="0"/>
    <pivotField axis="axisRow" showAll="0">
      <items count="28">
        <item x="0"/>
        <item x="25"/>
        <item x="6"/>
        <item x="5"/>
        <item x="17"/>
        <item x="8"/>
        <item x="3"/>
        <item x="13"/>
        <item x="24"/>
        <item x="15"/>
        <item x="4"/>
        <item x="22"/>
        <item x="11"/>
        <item x="9"/>
        <item x="18"/>
        <item x="10"/>
        <item x="16"/>
        <item x="23"/>
        <item x="1"/>
        <item x="12"/>
        <item x="20"/>
        <item x="7"/>
        <item x="2"/>
        <item x="21"/>
        <item x="14"/>
        <item x="26"/>
        <item x="19"/>
        <item t="default"/>
      </items>
    </pivotField>
    <pivotField showAll="0"/>
    <pivotField showAll="0"/>
    <pivotField showAll="0"/>
  </pivotFields>
  <rowFields count="1">
    <field x="9"/>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Number of Emp" fld="0" subtotal="count" baseField="9" baseItem="0"/>
  </dataFields>
  <formats count="1">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46C0CA-4432-4EA4-9F50-2820CAF2A718}"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Y4:Z10" firstHeaderRow="1" firstDataRow="1" firstDataCol="1"/>
  <pivotFields count="13">
    <pivotField showAll="0"/>
    <pivotField showAll="0"/>
    <pivotField showAll="0"/>
    <pivotField showAll="0"/>
    <pivotField axis="axisRow" showAll="0">
      <items count="7">
        <item x="2"/>
        <item x="1"/>
        <item x="3"/>
        <item x="5"/>
        <item x="4"/>
        <item x="0"/>
        <item t="default"/>
      </items>
    </pivotField>
    <pivotField showAll="0"/>
    <pivotField showAll="0"/>
    <pivotField showAll="0"/>
    <pivotField dataField="1" numFmtId="1" showAll="0"/>
    <pivotField showAll="0"/>
    <pivotField showAll="0"/>
    <pivotField showAll="0"/>
    <pivotField showAll="0"/>
  </pivotFields>
  <rowFields count="1">
    <field x="4"/>
  </rowFields>
  <rowItems count="6">
    <i>
      <x/>
    </i>
    <i>
      <x v="1"/>
    </i>
    <i>
      <x v="2"/>
    </i>
    <i>
      <x v="3"/>
    </i>
    <i>
      <x v="4"/>
    </i>
    <i>
      <x v="5"/>
    </i>
  </rowItems>
  <colItems count="1">
    <i/>
  </colItems>
  <dataFields count="1">
    <dataField name="Average of Experience" fld="8" subtotal="average" baseField="4"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841DCC-5B24-4CFF-9AF3-681552C411D1}"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E4:AF11" firstHeaderRow="1" firstDataRow="1" firstDataCol="1"/>
  <pivotFields count="13">
    <pivotField showAll="0"/>
    <pivotField showAll="0"/>
    <pivotField showAll="0"/>
    <pivotField showAll="0"/>
    <pivotField axis="axisRow" showAll="0">
      <items count="7">
        <item x="2"/>
        <item x="1"/>
        <item x="3"/>
        <item x="5"/>
        <item x="4"/>
        <item x="0"/>
        <item t="default"/>
      </items>
    </pivotField>
    <pivotField showAll="0"/>
    <pivotField showAll="0"/>
    <pivotField dataField="1" showAll="0"/>
    <pivotField numFmtId="1"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Deparment Wise Salary"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DDABEB-8D5F-40BF-A3BB-540111484DA1}"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V4:W9" firstHeaderRow="1" firstDataRow="1" firstDataCol="1"/>
  <pivotFields count="13">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measureFilter="1" sortType="descending">
      <items count="51">
        <item x="26"/>
        <item x="8"/>
        <item x="38"/>
        <item x="23"/>
        <item x="10"/>
        <item x="35"/>
        <item x="5"/>
        <item x="13"/>
        <item x="19"/>
        <item x="24"/>
        <item x="42"/>
        <item x="12"/>
        <item x="9"/>
        <item x="17"/>
        <item x="37"/>
        <item x="30"/>
        <item x="48"/>
        <item x="22"/>
        <item x="0"/>
        <item x="27"/>
        <item x="1"/>
        <item x="39"/>
        <item x="7"/>
        <item x="33"/>
        <item x="46"/>
        <item x="21"/>
        <item x="18"/>
        <item x="29"/>
        <item x="3"/>
        <item x="47"/>
        <item x="40"/>
        <item x="25"/>
        <item x="16"/>
        <item x="32"/>
        <item x="36"/>
        <item x="49"/>
        <item x="15"/>
        <item x="4"/>
        <item x="43"/>
        <item x="31"/>
        <item x="44"/>
        <item x="45"/>
        <item x="14"/>
        <item x="6"/>
        <item x="34"/>
        <item x="11"/>
        <item x="2"/>
        <item x="20"/>
        <item x="28"/>
        <item x="41"/>
        <item t="default"/>
      </items>
    </pivotField>
    <pivotField showAll="0"/>
    <pivotField showAll="0"/>
    <pivotField showAll="0"/>
    <pivotField showAll="0"/>
    <pivotField showAll="0"/>
    <pivotField dataField="1" showAll="0"/>
    <pivotField numFmtId="1" showAll="0"/>
    <pivotField showAll="0"/>
    <pivotField showAll="0"/>
    <pivotField showAll="0"/>
    <pivotField showAll="0"/>
  </pivotFields>
  <rowFields count="1">
    <field x="1"/>
  </rowFields>
  <rowItems count="5">
    <i>
      <x v="4"/>
    </i>
    <i>
      <x v="15"/>
    </i>
    <i>
      <x v="16"/>
    </i>
    <i>
      <x v="30"/>
    </i>
    <i>
      <x v="42"/>
    </i>
  </rowItems>
  <colItems count="1">
    <i/>
  </colItems>
  <dataFields count="1">
    <dataField name="Emp Salary" fld="7" baseField="1" baseItem="7"/>
  </dataFields>
  <formats count="2">
    <format dxfId="19">
      <pivotArea field="1" type="button" dataOnly="0" labelOnly="1" outline="0" axis="axisRow" fieldPosition="0"/>
    </format>
    <format dxfId="18">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BC3FC2-FDC6-4671-8B9B-E8A3132B188B}" name="PivotTable6" cacheId="1"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S4:T11" firstHeaderRow="1" firstDataRow="1" firstDataCol="1"/>
  <pivotFields count="13">
    <pivotField showAll="0"/>
    <pivotField showAll="0"/>
    <pivotField showAll="0">
      <items count="3">
        <item x="1"/>
        <item x="0"/>
        <item t="default"/>
      </items>
    </pivotField>
    <pivotField showAll="0"/>
    <pivotField axis="axisRow" showAll="0">
      <items count="7">
        <item x="2"/>
        <item x="1"/>
        <item x="3"/>
        <item x="5"/>
        <item x="4"/>
        <item x="0"/>
        <item t="default"/>
      </items>
    </pivotField>
    <pivotField showAll="0"/>
    <pivotField dataField="1" showAll="0"/>
    <pivotField showAll="0"/>
    <pivotField numFmtId="1" showAll="0"/>
    <pivotField showAll="0">
      <items count="28">
        <item x="0"/>
        <item x="25"/>
        <item x="6"/>
        <item x="5"/>
        <item x="17"/>
        <item x="8"/>
        <item x="3"/>
        <item x="13"/>
        <item x="24"/>
        <item x="15"/>
        <item x="4"/>
        <item x="22"/>
        <item x="11"/>
        <item x="9"/>
        <item x="18"/>
        <item x="10"/>
        <item x="16"/>
        <item x="23"/>
        <item x="1"/>
        <item x="12"/>
        <item x="20"/>
        <item x="7"/>
        <item x="2"/>
        <item x="21"/>
        <item x="14"/>
        <item x="26"/>
        <item x="19"/>
        <item t="default"/>
      </items>
    </pivotField>
    <pivotField showAll="0"/>
    <pivotField showAll="0"/>
    <pivotField showAll="0"/>
  </pivotFields>
  <rowFields count="1">
    <field x="4"/>
  </rowFields>
  <rowItems count="7">
    <i>
      <x/>
    </i>
    <i>
      <x v="1"/>
    </i>
    <i>
      <x v="2"/>
    </i>
    <i>
      <x v="3"/>
    </i>
    <i>
      <x v="4"/>
    </i>
    <i>
      <x v="5"/>
    </i>
    <i t="grand">
      <x/>
    </i>
  </rowItems>
  <colItems count="1">
    <i/>
  </colItems>
  <dataFields count="1">
    <dataField name="Attrition %" fld="6" subtotal="count" showDataAs="percentOfTotal" baseField="0" baseItem="0" numFmtId="10"/>
  </dataFields>
  <formats count="1">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BEDBBB-571D-4576-AD8B-F13D4EEFD6C7}"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B4:AC11" firstHeaderRow="1" firstDataRow="1" firstDataCol="1"/>
  <pivotFields count="13">
    <pivotField dataField="1" showAll="0"/>
    <pivotField showAll="0"/>
    <pivotField showAll="0"/>
    <pivotField showAll="0"/>
    <pivotField axis="axisRow" showAll="0">
      <items count="7">
        <item x="2"/>
        <item x="1"/>
        <item x="3"/>
        <item x="5"/>
        <item x="4"/>
        <item x="0"/>
        <item t="default"/>
      </items>
    </pivotField>
    <pivotField showAll="0"/>
    <pivotField showAll="0"/>
    <pivotField showAll="0"/>
    <pivotField numFmtId="1"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Number of Emp." fld="0" subtotal="count" baseField="0" baseItem="0"/>
  </dataFields>
  <formats count="1">
    <format dxfId="21">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E45A05-9CDF-4DBC-A52B-265D91CEF335}" name="PivotTable1" cacheId="1"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8">
  <location ref="A4:D11" firstHeaderRow="0" firstDataRow="1" firstDataCol="1"/>
  <pivotFields count="13">
    <pivotField dataField="1" showAll="0"/>
    <pivotField showAll="0"/>
    <pivotField showAll="0">
      <items count="3">
        <item x="1"/>
        <item x="0"/>
        <item t="default"/>
      </items>
    </pivotField>
    <pivotField showAll="0"/>
    <pivotField axis="axisRow" showAll="0">
      <items count="7">
        <item x="2"/>
        <item x="1"/>
        <item x="3"/>
        <item x="5"/>
        <item x="4"/>
        <item x="0"/>
        <item t="default"/>
      </items>
    </pivotField>
    <pivotField showAll="0"/>
    <pivotField dataField="1" showAll="0"/>
    <pivotField dataField="1" showAll="0"/>
    <pivotField numFmtId="1" showAll="0"/>
    <pivotField showAll="0">
      <items count="28">
        <item x="0"/>
        <item x="25"/>
        <item x="6"/>
        <item x="5"/>
        <item x="17"/>
        <item x="8"/>
        <item x="3"/>
        <item x="13"/>
        <item x="24"/>
        <item x="15"/>
        <item x="4"/>
        <item x="22"/>
        <item x="11"/>
        <item x="9"/>
        <item x="18"/>
        <item x="10"/>
        <item x="16"/>
        <item x="23"/>
        <item x="1"/>
        <item x="12"/>
        <item x="20"/>
        <item x="7"/>
        <item x="2"/>
        <item x="21"/>
        <item x="14"/>
        <item x="26"/>
        <item x="19"/>
        <item t="default"/>
      </items>
    </pivotField>
    <pivotField showAll="0"/>
    <pivotField showAll="0"/>
    <pivotField showAll="0"/>
  </pivotFields>
  <rowFields count="1">
    <field x="4"/>
  </rowFields>
  <rowItems count="7">
    <i>
      <x/>
    </i>
    <i>
      <x v="1"/>
    </i>
    <i>
      <x v="2"/>
    </i>
    <i>
      <x v="3"/>
    </i>
    <i>
      <x v="4"/>
    </i>
    <i>
      <x v="5"/>
    </i>
    <i t="grand">
      <x/>
    </i>
  </rowItems>
  <colFields count="1">
    <field x="-2"/>
  </colFields>
  <colItems count="3">
    <i>
      <x/>
    </i>
    <i i="1">
      <x v="1"/>
    </i>
    <i i="2">
      <x v="2"/>
    </i>
  </colItems>
  <dataFields count="3">
    <dataField name="Number of Emp" fld="0" subtotal="count" baseField="0" baseItem="0"/>
    <dataField name="Average Salary" fld="7" subtotal="average" baseField="4" baseItem="0"/>
    <dataField name="Attrition Count" fld="6" subtotal="count" baseField="0" baseItem="0"/>
  </dataFields>
  <formats count="2">
    <format dxfId="23">
      <pivotArea collapsedLevelsAreSubtotals="1" fieldPosition="0">
        <references count="2">
          <reference field="4294967294" count="1" selected="0">
            <x v="1"/>
          </reference>
          <reference field="4" count="0"/>
        </references>
      </pivotArea>
    </format>
    <format dxfId="22">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F0B740D-B7F4-4EC7-8983-410EFC0F681B}" sourceName="City">
  <pivotTables>
    <pivotTable tabId="3" name="PivotTable2"/>
    <pivotTable tabId="3" name="PivotTable1"/>
    <pivotTable tabId="3" name="PivotTable3"/>
    <pivotTable tabId="3" name="PivotTable4"/>
    <pivotTable tabId="3" name="PivotTable5"/>
    <pivotTable tabId="3" name="PivotTable6"/>
  </pivotTables>
  <data>
    <tabular pivotCacheId="525330099">
      <items count="27">
        <i x="0" s="1"/>
        <i x="25" s="1"/>
        <i x="6" s="1"/>
        <i x="5" s="1"/>
        <i x="17" s="1"/>
        <i x="8" s="1"/>
        <i x="3" s="1"/>
        <i x="13" s="1"/>
        <i x="24" s="1"/>
        <i x="15" s="1"/>
        <i x="4" s="1"/>
        <i x="22" s="1"/>
        <i x="11" s="1"/>
        <i x="9" s="1"/>
        <i x="18" s="1"/>
        <i x="10" s="1"/>
        <i x="16" s="1"/>
        <i x="23" s="1"/>
        <i x="1" s="1"/>
        <i x="12" s="1"/>
        <i x="20" s="1"/>
        <i x="7" s="1"/>
        <i x="2" s="1"/>
        <i x="21" s="1"/>
        <i x="14" s="1"/>
        <i x="26"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AD2C3A0-1BD6-4E4A-BCDF-DFA6A5B0C214}" sourceName="Gender">
  <pivotTables>
    <pivotTable tabId="3" name="PivotTable2"/>
    <pivotTable tabId="3" name="PivotTable1"/>
    <pivotTable tabId="3" name="PivotTable3"/>
    <pivotTable tabId="3" name="PivotTable4"/>
    <pivotTable tabId="3" name="PivotTable5"/>
    <pivotTable tabId="3" name="PivotTable6"/>
  </pivotTables>
  <data>
    <tabular pivotCacheId="52533009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AECE2B5-F7B3-47F0-8EEC-A879EB9BB1FE}" sourceName="Department">
  <pivotTables>
    <pivotTable tabId="3" name="PivotTable2"/>
    <pivotTable tabId="3" name="PivotTable1"/>
    <pivotTable tabId="3" name="PivotTable3"/>
    <pivotTable tabId="3" name="PivotTable4"/>
    <pivotTable tabId="3" name="PivotTable5"/>
    <pivotTable tabId="3" name="PivotTable6"/>
  </pivotTables>
  <data>
    <tabular pivotCacheId="525330099">
      <items count="6">
        <i x="2" s="1"/>
        <i x="1" s="1"/>
        <i x="3" s="1"/>
        <i x="5"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32876BF-552A-4227-AC8C-8788AD5B476F}" cache="Slicer_City" caption="City" startItem="6" rowHeight="251883"/>
  <slicer name="Gender" xr10:uid="{286108FB-13B0-460E-9B17-E6C89B31BB54}" cache="Slicer_Gender" caption="Gender" rowHeight="251883"/>
  <slicer name="Department" xr10:uid="{D7311BBE-9BD7-4364-A3D0-3C5DFC6F94FF}" cache="Slicer_Department" caption="Departmen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C3C16-6DBB-41F0-9B2D-1025559FD5C9}">
  <sheetPr codeName="Sheet1"/>
  <dimension ref="A1:M51"/>
  <sheetViews>
    <sheetView tabSelected="1" workbookViewId="0">
      <selection activeCell="I45" sqref="I45"/>
    </sheetView>
  </sheetViews>
  <sheetFormatPr defaultRowHeight="14.5" x14ac:dyDescent="0.35"/>
  <cols>
    <col min="1" max="1" width="6.08984375" bestFit="1" customWidth="1"/>
    <col min="2" max="2" width="8.1796875" bestFit="1" customWidth="1"/>
    <col min="3" max="3" width="6.81640625" bestFit="1" customWidth="1"/>
    <col min="4" max="4" width="3.81640625" bestFit="1" customWidth="1"/>
    <col min="5" max="5" width="10.54296875" bestFit="1" customWidth="1"/>
    <col min="6" max="6" width="10.08984375" bestFit="1" customWidth="1"/>
    <col min="7" max="7" width="10.08984375" style="1" bestFit="1" customWidth="1"/>
    <col min="8" max="8" width="6.81640625" bestFit="1" customWidth="1"/>
    <col min="9" max="9" width="9.7265625" style="9" bestFit="1" customWidth="1"/>
    <col min="10" max="10" width="10.453125" bestFit="1" customWidth="1"/>
    <col min="12" max="12" width="10.08984375" bestFit="1" customWidth="1"/>
    <col min="13" max="13" width="14.26953125" bestFit="1" customWidth="1"/>
    <col min="14" max="14" width="10.08984375" bestFit="1" customWidth="1"/>
  </cols>
  <sheetData>
    <row r="1" spans="1:13" x14ac:dyDescent="0.35">
      <c r="A1" s="2" t="s">
        <v>0</v>
      </c>
      <c r="B1" s="2" t="s">
        <v>1</v>
      </c>
      <c r="C1" s="2" t="s">
        <v>2</v>
      </c>
      <c r="D1" s="2" t="s">
        <v>3</v>
      </c>
      <c r="E1" s="2" t="s">
        <v>4</v>
      </c>
      <c r="F1" s="2" t="s">
        <v>5</v>
      </c>
      <c r="G1" s="5" t="s">
        <v>6</v>
      </c>
      <c r="H1" s="2" t="s">
        <v>7</v>
      </c>
      <c r="I1" s="7" t="s">
        <v>8</v>
      </c>
      <c r="J1" s="2" t="s">
        <v>9</v>
      </c>
      <c r="K1" s="2" t="s">
        <v>145</v>
      </c>
      <c r="L1" s="2" t="s">
        <v>146</v>
      </c>
      <c r="M1" s="2" t="s">
        <v>174</v>
      </c>
    </row>
    <row r="2" spans="1:13" x14ac:dyDescent="0.35">
      <c r="A2" s="3" t="s">
        <v>10</v>
      </c>
      <c r="B2" s="3" t="s">
        <v>11</v>
      </c>
      <c r="C2" s="3" t="s">
        <v>12</v>
      </c>
      <c r="D2" s="3">
        <v>28</v>
      </c>
      <c r="E2" s="3" t="s">
        <v>13</v>
      </c>
      <c r="F2" s="4">
        <v>44168</v>
      </c>
      <c r="G2" s="4"/>
      <c r="H2" s="3">
        <v>45000</v>
      </c>
      <c r="I2" s="8">
        <v>4</v>
      </c>
      <c r="J2" s="3" t="s">
        <v>14</v>
      </c>
      <c r="K2" s="3" t="str">
        <f>IF(G2="","Active","Exited")</f>
        <v>Active</v>
      </c>
      <c r="L2" s="3">
        <v>2020</v>
      </c>
      <c r="M2" s="3" t="str" cm="1">
        <f t="array" ref="M2">_xlfn.IFS(I2&lt;=3,"0-3 Years",I2&lt;=8,"4-8 Years",I2&lt;=15,"9-15 Years",I2&gt;15,"15+ Years")</f>
        <v>4-8 Years</v>
      </c>
    </row>
    <row r="3" spans="1:13" x14ac:dyDescent="0.35">
      <c r="A3" s="3" t="s">
        <v>15</v>
      </c>
      <c r="B3" s="3" t="s">
        <v>16</v>
      </c>
      <c r="C3" s="3" t="s">
        <v>17</v>
      </c>
      <c r="D3" s="3">
        <v>32</v>
      </c>
      <c r="E3" s="3" t="s">
        <v>18</v>
      </c>
      <c r="F3" s="3" t="s">
        <v>147</v>
      </c>
      <c r="G3" s="4"/>
      <c r="H3" s="3">
        <v>52000</v>
      </c>
      <c r="I3" s="8">
        <v>7</v>
      </c>
      <c r="J3" s="3" t="s">
        <v>19</v>
      </c>
      <c r="K3" s="3" t="str">
        <f t="shared" ref="K3:K51" si="0">IF(G3="","Active","Exited")</f>
        <v>Active</v>
      </c>
      <c r="L3" s="3">
        <v>2019</v>
      </c>
      <c r="M3" s="3" t="str" cm="1">
        <f t="array" ref="M3">_xlfn.IFS(I3&lt;=3,"0-3 Years",I3&lt;=8,"4-8 Years",I3&lt;=15,"9-15 Years",I3&gt;15,"15+ Years")</f>
        <v>4-8 Years</v>
      </c>
    </row>
    <row r="4" spans="1:13" x14ac:dyDescent="0.35">
      <c r="A4" s="3" t="s">
        <v>20</v>
      </c>
      <c r="B4" s="3" t="s">
        <v>21</v>
      </c>
      <c r="C4" s="3" t="s">
        <v>12</v>
      </c>
      <c r="D4" s="3">
        <v>45</v>
      </c>
      <c r="E4" s="3" t="s">
        <v>22</v>
      </c>
      <c r="F4" s="4">
        <v>42036</v>
      </c>
      <c r="G4" s="4" t="s">
        <v>148</v>
      </c>
      <c r="H4" s="3">
        <v>90000</v>
      </c>
      <c r="I4" s="8">
        <v>18</v>
      </c>
      <c r="J4" s="3" t="s">
        <v>23</v>
      </c>
      <c r="K4" s="3" t="str">
        <f t="shared" si="0"/>
        <v>Exited</v>
      </c>
      <c r="L4" s="3">
        <v>2015</v>
      </c>
      <c r="M4" s="3" t="str" cm="1">
        <f t="array" ref="M4">_xlfn.IFS(I4&lt;=3,"0-3 Years",I4&lt;=8,"4-8 Years",I4&lt;=15,"9-15 Years",I4&gt;15,"15+ Years")</f>
        <v>15+ Years</v>
      </c>
    </row>
    <row r="5" spans="1:13" x14ac:dyDescent="0.35">
      <c r="A5" s="3" t="s">
        <v>24</v>
      </c>
      <c r="B5" s="3" t="s">
        <v>25</v>
      </c>
      <c r="C5" s="3" t="s">
        <v>17</v>
      </c>
      <c r="D5" s="3">
        <v>26</v>
      </c>
      <c r="E5" s="3" t="s">
        <v>26</v>
      </c>
      <c r="F5" s="4">
        <v>44475</v>
      </c>
      <c r="G5" s="4"/>
      <c r="H5" s="3">
        <v>48000</v>
      </c>
      <c r="I5" s="8">
        <v>2</v>
      </c>
      <c r="J5" s="3" t="s">
        <v>27</v>
      </c>
      <c r="K5" s="3" t="str">
        <f t="shared" si="0"/>
        <v>Active</v>
      </c>
      <c r="L5" s="3">
        <v>2021</v>
      </c>
      <c r="M5" s="3" t="str" cm="1">
        <f t="array" ref="M5">_xlfn.IFS(I5&lt;=3,"0-3 Years",I5&lt;=8,"4-8 Years",I5&lt;=15,"9-15 Years",I5&gt;15,"15+ Years")</f>
        <v>0-3 Years</v>
      </c>
    </row>
    <row r="6" spans="1:13" x14ac:dyDescent="0.35">
      <c r="A6" s="3" t="s">
        <v>28</v>
      </c>
      <c r="B6" s="3" t="s">
        <v>29</v>
      </c>
      <c r="C6" s="3" t="s">
        <v>12</v>
      </c>
      <c r="D6" s="3">
        <v>39</v>
      </c>
      <c r="E6" s="3" t="s">
        <v>30</v>
      </c>
      <c r="F6" s="4">
        <v>42866</v>
      </c>
      <c r="G6" s="4"/>
      <c r="H6" s="3">
        <v>65000</v>
      </c>
      <c r="I6" s="8">
        <v>12</v>
      </c>
      <c r="J6" s="3" t="s">
        <v>31</v>
      </c>
      <c r="K6" s="3" t="str">
        <f t="shared" si="0"/>
        <v>Active</v>
      </c>
      <c r="L6" s="3">
        <v>2017</v>
      </c>
      <c r="M6" s="3" t="str" cm="1">
        <f t="array" ref="M6">_xlfn.IFS(I6&lt;=3,"0-3 Years",I6&lt;=8,"4-8 Years",I6&lt;=15,"9-15 Years",I6&gt;15,"15+ Years")</f>
        <v>9-15 Years</v>
      </c>
    </row>
    <row r="7" spans="1:13" x14ac:dyDescent="0.35">
      <c r="A7" s="3" t="s">
        <v>32</v>
      </c>
      <c r="B7" s="3" t="s">
        <v>33</v>
      </c>
      <c r="C7" s="3" t="s">
        <v>17</v>
      </c>
      <c r="D7" s="3">
        <v>29</v>
      </c>
      <c r="E7" s="3" t="s">
        <v>34</v>
      </c>
      <c r="F7" s="3" t="s">
        <v>149</v>
      </c>
      <c r="G7" s="4"/>
      <c r="H7" s="3">
        <v>47000</v>
      </c>
      <c r="I7" s="8">
        <v>5</v>
      </c>
      <c r="J7" s="3" t="s">
        <v>14</v>
      </c>
      <c r="K7" s="3" t="str">
        <f t="shared" si="0"/>
        <v>Active</v>
      </c>
      <c r="L7" s="3">
        <v>2020</v>
      </c>
      <c r="M7" s="3" t="str" cm="1">
        <f t="array" ref="M7">_xlfn.IFS(I7&lt;=3,"0-3 Years",I7&lt;=8,"4-8 Years",I7&lt;=15,"9-15 Years",I7&gt;15,"15+ Years")</f>
        <v>4-8 Years</v>
      </c>
    </row>
    <row r="8" spans="1:13" x14ac:dyDescent="0.35">
      <c r="A8" s="3" t="s">
        <v>35</v>
      </c>
      <c r="B8" s="3" t="s">
        <v>36</v>
      </c>
      <c r="C8" s="3" t="s">
        <v>12</v>
      </c>
      <c r="D8" s="3">
        <v>34</v>
      </c>
      <c r="E8" s="3" t="s">
        <v>13</v>
      </c>
      <c r="F8" s="3" t="s">
        <v>150</v>
      </c>
      <c r="G8" s="4"/>
      <c r="H8" s="3">
        <v>60000</v>
      </c>
      <c r="I8" s="8">
        <v>9</v>
      </c>
      <c r="J8" s="3" t="s">
        <v>37</v>
      </c>
      <c r="K8" s="3" t="str">
        <f t="shared" si="0"/>
        <v>Active</v>
      </c>
      <c r="L8" s="3">
        <v>2018</v>
      </c>
      <c r="M8" s="3" t="str" cm="1">
        <f t="array" ref="M8">_xlfn.IFS(I8&lt;=3,"0-3 Years",I8&lt;=8,"4-8 Years",I8&lt;=15,"9-15 Years",I8&gt;15,"15+ Years")</f>
        <v>9-15 Years</v>
      </c>
    </row>
    <row r="9" spans="1:13" x14ac:dyDescent="0.35">
      <c r="A9" s="3" t="s">
        <v>38</v>
      </c>
      <c r="B9" s="3" t="s">
        <v>39</v>
      </c>
      <c r="C9" s="3" t="s">
        <v>17</v>
      </c>
      <c r="D9" s="3">
        <v>41</v>
      </c>
      <c r="E9" s="3" t="s">
        <v>22</v>
      </c>
      <c r="F9" s="4">
        <v>41641</v>
      </c>
      <c r="G9" s="4"/>
      <c r="H9" s="3">
        <v>85000</v>
      </c>
      <c r="I9" s="8">
        <v>15</v>
      </c>
      <c r="J9" s="3" t="s">
        <v>19</v>
      </c>
      <c r="K9" s="3" t="str">
        <f t="shared" si="0"/>
        <v>Active</v>
      </c>
      <c r="L9" s="3">
        <v>2014</v>
      </c>
      <c r="M9" s="3" t="str" cm="1">
        <f t="array" ref="M9">_xlfn.IFS(I9&lt;=3,"0-3 Years",I9&lt;=8,"4-8 Years",I9&lt;=15,"9-15 Years",I9&gt;15,"15+ Years")</f>
        <v>9-15 Years</v>
      </c>
    </row>
    <row r="10" spans="1:13" x14ac:dyDescent="0.35">
      <c r="A10" s="3" t="s">
        <v>40</v>
      </c>
      <c r="B10" s="3" t="s">
        <v>41</v>
      </c>
      <c r="C10" s="3" t="s">
        <v>12</v>
      </c>
      <c r="D10" s="3">
        <v>31</v>
      </c>
      <c r="E10" s="3" t="s">
        <v>26</v>
      </c>
      <c r="F10" s="4">
        <v>43717</v>
      </c>
      <c r="G10" s="4"/>
      <c r="H10" s="3">
        <v>55000</v>
      </c>
      <c r="I10" s="8">
        <v>6</v>
      </c>
      <c r="J10" s="3" t="s">
        <v>42</v>
      </c>
      <c r="K10" s="3" t="str">
        <f t="shared" si="0"/>
        <v>Active</v>
      </c>
      <c r="L10" s="3">
        <v>2019</v>
      </c>
      <c r="M10" s="3" t="str" cm="1">
        <f t="array" ref="M10">_xlfn.IFS(I10&lt;=3,"0-3 Years",I10&lt;=8,"4-8 Years",I10&lt;=15,"9-15 Years",I10&gt;15,"15+ Years")</f>
        <v>4-8 Years</v>
      </c>
    </row>
    <row r="11" spans="1:13" x14ac:dyDescent="0.35">
      <c r="A11" s="3" t="s">
        <v>43</v>
      </c>
      <c r="B11" s="3" t="s">
        <v>44</v>
      </c>
      <c r="C11" s="3" t="s">
        <v>17</v>
      </c>
      <c r="D11" s="3">
        <v>27</v>
      </c>
      <c r="E11" s="3" t="s">
        <v>18</v>
      </c>
      <c r="F11" s="4">
        <v>44866</v>
      </c>
      <c r="G11" s="4"/>
      <c r="H11" s="3">
        <v>42000</v>
      </c>
      <c r="I11" s="8">
        <v>2</v>
      </c>
      <c r="J11" s="3" t="s">
        <v>45</v>
      </c>
      <c r="K11" s="3" t="str">
        <f t="shared" si="0"/>
        <v>Active</v>
      </c>
      <c r="L11" s="3">
        <v>2022</v>
      </c>
      <c r="M11" s="3" t="str" cm="1">
        <f t="array" ref="M11">_xlfn.IFS(I11&lt;=3,"0-3 Years",I11&lt;=8,"4-8 Years",I11&lt;=15,"9-15 Years",I11&gt;15,"15+ Years")</f>
        <v>0-3 Years</v>
      </c>
    </row>
    <row r="12" spans="1:13" x14ac:dyDescent="0.35">
      <c r="A12" s="3" t="s">
        <v>46</v>
      </c>
      <c r="B12" s="3" t="s">
        <v>47</v>
      </c>
      <c r="C12" s="3" t="s">
        <v>12</v>
      </c>
      <c r="D12" s="3">
        <v>50</v>
      </c>
      <c r="E12" s="3" t="s">
        <v>30</v>
      </c>
      <c r="F12" s="3" t="s">
        <v>151</v>
      </c>
      <c r="G12" s="4">
        <v>44907</v>
      </c>
      <c r="H12" s="3">
        <v>110000</v>
      </c>
      <c r="I12" s="8">
        <v>25</v>
      </c>
      <c r="J12" s="3" t="s">
        <v>31</v>
      </c>
      <c r="K12" s="3" t="str">
        <f t="shared" si="0"/>
        <v>Exited</v>
      </c>
      <c r="L12" s="3">
        <v>2010</v>
      </c>
      <c r="M12" s="3" t="str" cm="1">
        <f t="array" ref="M12">_xlfn.IFS(I12&lt;=3,"0-3 Years",I12&lt;=8,"4-8 Years",I12&lt;=15,"9-15 Years",I12&gt;15,"15+ Years")</f>
        <v>15+ Years</v>
      </c>
    </row>
    <row r="13" spans="1:13" x14ac:dyDescent="0.35">
      <c r="A13" s="3" t="s">
        <v>48</v>
      </c>
      <c r="B13" s="3" t="s">
        <v>49</v>
      </c>
      <c r="C13" s="3" t="s">
        <v>17</v>
      </c>
      <c r="D13" s="3">
        <v>36</v>
      </c>
      <c r="E13" s="3" t="s">
        <v>34</v>
      </c>
      <c r="F13" s="3" t="s">
        <v>152</v>
      </c>
      <c r="G13" s="4"/>
      <c r="H13" s="3">
        <v>72000</v>
      </c>
      <c r="I13" s="8">
        <v>11</v>
      </c>
      <c r="J13" s="3" t="s">
        <v>23</v>
      </c>
      <c r="K13" s="3" t="str">
        <f t="shared" si="0"/>
        <v>Active</v>
      </c>
      <c r="L13" s="3">
        <v>2016</v>
      </c>
      <c r="M13" s="3" t="str" cm="1">
        <f t="array" ref="M13">_xlfn.IFS(I13&lt;=3,"0-3 Years",I13&lt;=8,"4-8 Years",I13&lt;=15,"9-15 Years",I13&gt;15,"15+ Years")</f>
        <v>9-15 Years</v>
      </c>
    </row>
    <row r="14" spans="1:13" x14ac:dyDescent="0.35">
      <c r="A14" s="3" t="s">
        <v>50</v>
      </c>
      <c r="B14" s="3" t="s">
        <v>51</v>
      </c>
      <c r="C14" s="3" t="s">
        <v>12</v>
      </c>
      <c r="D14" s="3">
        <v>24</v>
      </c>
      <c r="E14" s="3" t="s">
        <v>26</v>
      </c>
      <c r="F14" s="4">
        <v>44933</v>
      </c>
      <c r="G14" s="4"/>
      <c r="H14" s="3">
        <v>35000</v>
      </c>
      <c r="I14" s="8">
        <v>1</v>
      </c>
      <c r="J14" s="3" t="s">
        <v>27</v>
      </c>
      <c r="K14" s="3" t="str">
        <f t="shared" si="0"/>
        <v>Active</v>
      </c>
      <c r="L14" s="3">
        <v>2023</v>
      </c>
      <c r="M14" s="3" t="str" cm="1">
        <f t="array" ref="M14">_xlfn.IFS(I14&lt;=3,"0-3 Years",I14&lt;=8,"4-8 Years",I14&lt;=15,"9-15 Years",I14&gt;15,"15+ Years")</f>
        <v>0-3 Years</v>
      </c>
    </row>
    <row r="15" spans="1:13" x14ac:dyDescent="0.35">
      <c r="A15" s="3" t="s">
        <v>52</v>
      </c>
      <c r="B15" s="3" t="s">
        <v>53</v>
      </c>
      <c r="C15" s="3" t="s">
        <v>17</v>
      </c>
      <c r="D15" s="3">
        <v>30</v>
      </c>
      <c r="E15" s="3" t="s">
        <v>13</v>
      </c>
      <c r="F15" s="3" t="s">
        <v>153</v>
      </c>
      <c r="G15" s="4"/>
      <c r="H15" s="3">
        <v>58000</v>
      </c>
      <c r="I15" s="8">
        <v>6</v>
      </c>
      <c r="J15" s="3" t="s">
        <v>54</v>
      </c>
      <c r="K15" s="3" t="str">
        <f t="shared" si="0"/>
        <v>Active</v>
      </c>
      <c r="L15" s="3">
        <v>2019</v>
      </c>
      <c r="M15" s="3" t="str" cm="1">
        <f t="array" ref="M15">_xlfn.IFS(I15&lt;=3,"0-3 Years",I15&lt;=8,"4-8 Years",I15&lt;=15,"9-15 Years",I15&gt;15,"15+ Years")</f>
        <v>4-8 Years</v>
      </c>
    </row>
    <row r="16" spans="1:13" x14ac:dyDescent="0.35">
      <c r="A16" s="3" t="s">
        <v>55</v>
      </c>
      <c r="B16" s="3" t="s">
        <v>56</v>
      </c>
      <c r="C16" s="3" t="s">
        <v>12</v>
      </c>
      <c r="D16" s="3">
        <v>42</v>
      </c>
      <c r="E16" s="3" t="s">
        <v>22</v>
      </c>
      <c r="F16" s="3" t="s">
        <v>154</v>
      </c>
      <c r="G16" s="4"/>
      <c r="H16" s="3">
        <v>95000</v>
      </c>
      <c r="I16" s="8">
        <v>20</v>
      </c>
      <c r="J16" s="3" t="s">
        <v>14</v>
      </c>
      <c r="K16" s="3" t="str">
        <f t="shared" si="0"/>
        <v>Active</v>
      </c>
      <c r="L16" s="3">
        <v>2012</v>
      </c>
      <c r="M16" s="3" t="str" cm="1">
        <f t="array" ref="M16">_xlfn.IFS(I16&lt;=3,"0-3 Years",I16&lt;=8,"4-8 Years",I16&lt;=15,"9-15 Years",I16&gt;15,"15+ Years")</f>
        <v>15+ Years</v>
      </c>
    </row>
    <row r="17" spans="1:13" x14ac:dyDescent="0.35">
      <c r="A17" s="3" t="s">
        <v>57</v>
      </c>
      <c r="B17" s="3" t="s">
        <v>58</v>
      </c>
      <c r="C17" s="3" t="s">
        <v>17</v>
      </c>
      <c r="D17" s="3">
        <v>35</v>
      </c>
      <c r="E17" s="3" t="s">
        <v>18</v>
      </c>
      <c r="F17" s="3" t="s">
        <v>155</v>
      </c>
      <c r="G17" s="4"/>
      <c r="H17" s="3">
        <v>62000</v>
      </c>
      <c r="I17" s="8">
        <v>10</v>
      </c>
      <c r="J17" s="3" t="s">
        <v>37</v>
      </c>
      <c r="K17" s="3" t="str">
        <f t="shared" si="0"/>
        <v>Active</v>
      </c>
      <c r="L17" s="3">
        <v>2017</v>
      </c>
      <c r="M17" s="3" t="str" cm="1">
        <f t="array" ref="M17">_xlfn.IFS(I17&lt;=3,"0-3 Years",I17&lt;=8,"4-8 Years",I17&lt;=15,"9-15 Years",I17&gt;15,"15+ Years")</f>
        <v>9-15 Years</v>
      </c>
    </row>
    <row r="18" spans="1:13" x14ac:dyDescent="0.35">
      <c r="A18" s="3" t="s">
        <v>59</v>
      </c>
      <c r="B18" s="3" t="s">
        <v>60</v>
      </c>
      <c r="C18" s="3" t="s">
        <v>12</v>
      </c>
      <c r="D18" s="3">
        <v>29</v>
      </c>
      <c r="E18" s="3" t="s">
        <v>30</v>
      </c>
      <c r="F18" s="4">
        <v>44410</v>
      </c>
      <c r="G18" s="4"/>
      <c r="H18" s="3">
        <v>50000</v>
      </c>
      <c r="I18" s="8">
        <v>4</v>
      </c>
      <c r="J18" s="3" t="s">
        <v>61</v>
      </c>
      <c r="K18" s="3" t="str">
        <f t="shared" si="0"/>
        <v>Active</v>
      </c>
      <c r="L18" s="3">
        <v>2021</v>
      </c>
      <c r="M18" s="3" t="str" cm="1">
        <f t="array" ref="M18">_xlfn.IFS(I18&lt;=3,"0-3 Years",I18&lt;=8,"4-8 Years",I18&lt;=15,"9-15 Years",I18&gt;15,"15+ Years")</f>
        <v>4-8 Years</v>
      </c>
    </row>
    <row r="19" spans="1:13" x14ac:dyDescent="0.35">
      <c r="A19" s="3" t="s">
        <v>62</v>
      </c>
      <c r="B19" s="3" t="s">
        <v>63</v>
      </c>
      <c r="C19" s="3" t="s">
        <v>17</v>
      </c>
      <c r="D19" s="3">
        <v>38</v>
      </c>
      <c r="E19" s="3" t="s">
        <v>34</v>
      </c>
      <c r="F19" s="3" t="s">
        <v>156</v>
      </c>
      <c r="G19" s="4"/>
      <c r="H19" s="3">
        <v>78000</v>
      </c>
      <c r="I19" s="8">
        <v>13</v>
      </c>
      <c r="J19" s="3" t="s">
        <v>64</v>
      </c>
      <c r="K19" s="3" t="str">
        <f t="shared" si="0"/>
        <v>Active</v>
      </c>
      <c r="L19" s="3">
        <v>2015</v>
      </c>
      <c r="M19" s="3" t="str" cm="1">
        <f t="array" ref="M19">_xlfn.IFS(I19&lt;=3,"0-3 Years",I19&lt;=8,"4-8 Years",I19&lt;=15,"9-15 Years",I19&gt;15,"15+ Years")</f>
        <v>9-15 Years</v>
      </c>
    </row>
    <row r="20" spans="1:13" x14ac:dyDescent="0.35">
      <c r="A20" s="3" t="s">
        <v>65</v>
      </c>
      <c r="B20" s="3" t="s">
        <v>66</v>
      </c>
      <c r="C20" s="3" t="s">
        <v>12</v>
      </c>
      <c r="D20" s="3">
        <v>33</v>
      </c>
      <c r="E20" s="3" t="s">
        <v>26</v>
      </c>
      <c r="F20" s="4">
        <v>43527</v>
      </c>
      <c r="G20" s="4"/>
      <c r="H20" s="3">
        <v>61000</v>
      </c>
      <c r="I20" s="8">
        <v>7</v>
      </c>
      <c r="J20" s="3" t="s">
        <v>67</v>
      </c>
      <c r="K20" s="3" t="str">
        <f t="shared" si="0"/>
        <v>Active</v>
      </c>
      <c r="L20" s="3">
        <v>2019</v>
      </c>
      <c r="M20" s="3" t="str" cm="1">
        <f t="array" ref="M20">_xlfn.IFS(I20&lt;=3,"0-3 Years",I20&lt;=8,"4-8 Years",I20&lt;=15,"9-15 Years",I20&gt;15,"15+ Years")</f>
        <v>4-8 Years</v>
      </c>
    </row>
    <row r="21" spans="1:13" x14ac:dyDescent="0.35">
      <c r="A21" s="3" t="s">
        <v>68</v>
      </c>
      <c r="B21" s="3" t="s">
        <v>69</v>
      </c>
      <c r="C21" s="3" t="s">
        <v>17</v>
      </c>
      <c r="D21" s="3">
        <v>46</v>
      </c>
      <c r="E21" s="3" t="s">
        <v>13</v>
      </c>
      <c r="F21" s="4">
        <v>40858</v>
      </c>
      <c r="G21" s="4" t="s">
        <v>157</v>
      </c>
      <c r="H21" s="3">
        <v>88000</v>
      </c>
      <c r="I21" s="8">
        <v>21</v>
      </c>
      <c r="J21" s="3" t="s">
        <v>19</v>
      </c>
      <c r="K21" s="3" t="str">
        <f t="shared" si="0"/>
        <v>Exited</v>
      </c>
      <c r="L21" s="3">
        <v>2011</v>
      </c>
      <c r="M21" s="3" t="str" cm="1">
        <f t="array" ref="M21">_xlfn.IFS(I21&lt;=3,"0-3 Years",I21&lt;=8,"4-8 Years",I21&lt;=15,"9-15 Years",I21&gt;15,"15+ Years")</f>
        <v>15+ Years</v>
      </c>
    </row>
    <row r="22" spans="1:13" x14ac:dyDescent="0.35">
      <c r="A22" s="3" t="s">
        <v>70</v>
      </c>
      <c r="B22" s="3" t="s">
        <v>71</v>
      </c>
      <c r="C22" s="3" t="s">
        <v>12</v>
      </c>
      <c r="D22" s="3">
        <v>27</v>
      </c>
      <c r="E22" s="3" t="s">
        <v>34</v>
      </c>
      <c r="F22" s="4">
        <v>44686</v>
      </c>
      <c r="G22" s="4"/>
      <c r="H22" s="3">
        <v>41000</v>
      </c>
      <c r="I22" s="8">
        <v>2</v>
      </c>
      <c r="J22" s="3" t="s">
        <v>14</v>
      </c>
      <c r="K22" s="3" t="str">
        <f t="shared" si="0"/>
        <v>Active</v>
      </c>
      <c r="L22" s="3">
        <v>2022</v>
      </c>
      <c r="M22" s="3" t="str" cm="1">
        <f t="array" ref="M22">_xlfn.IFS(I22&lt;=3,"0-3 Years",I22&lt;=8,"4-8 Years",I22&lt;=15,"9-15 Years",I22&gt;15,"15+ Years")</f>
        <v>0-3 Years</v>
      </c>
    </row>
    <row r="23" spans="1:13" x14ac:dyDescent="0.35">
      <c r="A23" s="3" t="s">
        <v>72</v>
      </c>
      <c r="B23" s="3" t="s">
        <v>73</v>
      </c>
      <c r="C23" s="3" t="s">
        <v>17</v>
      </c>
      <c r="D23" s="3">
        <v>34</v>
      </c>
      <c r="E23" s="3" t="s">
        <v>22</v>
      </c>
      <c r="F23" s="3" t="s">
        <v>158</v>
      </c>
      <c r="G23" s="4"/>
      <c r="H23" s="3">
        <v>70000</v>
      </c>
      <c r="I23" s="8">
        <v>9</v>
      </c>
      <c r="J23" s="3" t="s">
        <v>23</v>
      </c>
      <c r="K23" s="3" t="str">
        <f t="shared" si="0"/>
        <v>Active</v>
      </c>
      <c r="L23" s="3">
        <v>2018</v>
      </c>
      <c r="M23" s="3" t="str" cm="1">
        <f t="array" ref="M23">_xlfn.IFS(I23&lt;=3,"0-3 Years",I23&lt;=8,"4-8 Years",I23&lt;=15,"9-15 Years",I23&gt;15,"15+ Years")</f>
        <v>9-15 Years</v>
      </c>
    </row>
    <row r="24" spans="1:13" x14ac:dyDescent="0.35">
      <c r="A24" s="3" t="s">
        <v>74</v>
      </c>
      <c r="B24" s="3" t="s">
        <v>75</v>
      </c>
      <c r="C24" s="3" t="s">
        <v>12</v>
      </c>
      <c r="D24" s="3">
        <v>40</v>
      </c>
      <c r="E24" s="3" t="s">
        <v>30</v>
      </c>
      <c r="F24" s="4">
        <v>41891</v>
      </c>
      <c r="G24" s="4"/>
      <c r="H24" s="3">
        <v>68000</v>
      </c>
      <c r="I24" s="8">
        <v>15</v>
      </c>
      <c r="J24" s="3" t="s">
        <v>76</v>
      </c>
      <c r="K24" s="3" t="str">
        <f t="shared" si="0"/>
        <v>Active</v>
      </c>
      <c r="L24" s="3">
        <v>2014</v>
      </c>
      <c r="M24" s="3" t="str" cm="1">
        <f t="array" ref="M24">_xlfn.IFS(I24&lt;=3,"0-3 Years",I24&lt;=8,"4-8 Years",I24&lt;=15,"9-15 Years",I24&gt;15,"15+ Years")</f>
        <v>9-15 Years</v>
      </c>
    </row>
    <row r="25" spans="1:13" x14ac:dyDescent="0.35">
      <c r="A25" s="3" t="s">
        <v>77</v>
      </c>
      <c r="B25" s="3" t="s">
        <v>78</v>
      </c>
      <c r="C25" s="3" t="s">
        <v>17</v>
      </c>
      <c r="D25" s="3">
        <v>31</v>
      </c>
      <c r="E25" s="3" t="s">
        <v>26</v>
      </c>
      <c r="F25" s="3" t="s">
        <v>159</v>
      </c>
      <c r="G25" s="4"/>
      <c r="H25" s="3">
        <v>59000</v>
      </c>
      <c r="I25" s="8">
        <v>6</v>
      </c>
      <c r="J25" s="3" t="s">
        <v>45</v>
      </c>
      <c r="K25" s="3" t="str">
        <f t="shared" si="0"/>
        <v>Active</v>
      </c>
      <c r="L25" s="3">
        <v>2020</v>
      </c>
      <c r="M25" s="3" t="str" cm="1">
        <f t="array" ref="M25">_xlfn.IFS(I25&lt;=3,"0-3 Years",I25&lt;=8,"4-8 Years",I25&lt;=15,"9-15 Years",I25&gt;15,"15+ Years")</f>
        <v>4-8 Years</v>
      </c>
    </row>
    <row r="26" spans="1:13" x14ac:dyDescent="0.35">
      <c r="A26" s="3" t="s">
        <v>79</v>
      </c>
      <c r="B26" s="3" t="s">
        <v>80</v>
      </c>
      <c r="C26" s="3" t="s">
        <v>12</v>
      </c>
      <c r="D26" s="3">
        <v>48</v>
      </c>
      <c r="E26" s="3" t="s">
        <v>18</v>
      </c>
      <c r="F26" s="3" t="s">
        <v>160</v>
      </c>
      <c r="G26" s="4" t="s">
        <v>161</v>
      </c>
      <c r="H26" s="3">
        <v>82000</v>
      </c>
      <c r="I26" s="8">
        <v>22</v>
      </c>
      <c r="J26" s="3" t="s">
        <v>81</v>
      </c>
      <c r="K26" s="3" t="str">
        <f t="shared" si="0"/>
        <v>Exited</v>
      </c>
      <c r="L26" s="3">
        <v>2010</v>
      </c>
      <c r="M26" s="3" t="str" cm="1">
        <f t="array" ref="M26">_xlfn.IFS(I26&lt;=3,"0-3 Years",I26&lt;=8,"4-8 Years",I26&lt;=15,"9-15 Years",I26&gt;15,"15+ Years")</f>
        <v>15+ Years</v>
      </c>
    </row>
    <row r="27" spans="1:13" x14ac:dyDescent="0.35">
      <c r="A27" s="3" t="s">
        <v>82</v>
      </c>
      <c r="B27" s="3" t="s">
        <v>83</v>
      </c>
      <c r="C27" s="3" t="s">
        <v>17</v>
      </c>
      <c r="D27" s="3">
        <v>29</v>
      </c>
      <c r="E27" s="3" t="s">
        <v>13</v>
      </c>
      <c r="F27" s="4">
        <v>44290</v>
      </c>
      <c r="G27" s="4"/>
      <c r="H27" s="3">
        <v>46000</v>
      </c>
      <c r="I27" s="8">
        <v>3</v>
      </c>
      <c r="J27" s="3" t="s">
        <v>84</v>
      </c>
      <c r="K27" s="3" t="str">
        <f t="shared" si="0"/>
        <v>Active</v>
      </c>
      <c r="L27" s="3">
        <v>2021</v>
      </c>
      <c r="M27" s="3" t="str" cm="1">
        <f t="array" ref="M27">_xlfn.IFS(I27&lt;=3,"0-3 Years",I27&lt;=8,"4-8 Years",I27&lt;=15,"9-15 Years",I27&gt;15,"15+ Years")</f>
        <v>0-3 Years</v>
      </c>
    </row>
    <row r="28" spans="1:13" x14ac:dyDescent="0.35">
      <c r="A28" s="3" t="s">
        <v>85</v>
      </c>
      <c r="B28" s="3" t="s">
        <v>86</v>
      </c>
      <c r="C28" s="3" t="s">
        <v>12</v>
      </c>
      <c r="D28" s="3">
        <v>36</v>
      </c>
      <c r="E28" s="3" t="s">
        <v>22</v>
      </c>
      <c r="F28" s="4">
        <v>42684</v>
      </c>
      <c r="G28" s="4"/>
      <c r="H28" s="3">
        <v>88000</v>
      </c>
      <c r="I28" s="8">
        <v>11</v>
      </c>
      <c r="J28" s="3" t="s">
        <v>61</v>
      </c>
      <c r="K28" s="3" t="str">
        <f t="shared" si="0"/>
        <v>Active</v>
      </c>
      <c r="L28" s="3">
        <v>2016</v>
      </c>
      <c r="M28" s="3" t="str" cm="1">
        <f t="array" ref="M28">_xlfn.IFS(I28&lt;=3,"0-3 Years",I28&lt;=8,"4-8 Years",I28&lt;=15,"9-15 Years",I28&gt;15,"15+ Years")</f>
        <v>9-15 Years</v>
      </c>
    </row>
    <row r="29" spans="1:13" x14ac:dyDescent="0.35">
      <c r="A29" s="3" t="s">
        <v>87</v>
      </c>
      <c r="B29" s="3" t="s">
        <v>88</v>
      </c>
      <c r="C29" s="3" t="s">
        <v>17</v>
      </c>
      <c r="D29" s="3">
        <v>25</v>
      </c>
      <c r="E29" s="3" t="s">
        <v>34</v>
      </c>
      <c r="F29" s="3" t="s">
        <v>162</v>
      </c>
      <c r="G29" s="4"/>
      <c r="H29" s="3">
        <v>36000</v>
      </c>
      <c r="I29" s="8">
        <v>1</v>
      </c>
      <c r="J29" s="3" t="s">
        <v>37</v>
      </c>
      <c r="K29" s="3" t="str">
        <f t="shared" si="0"/>
        <v>Active</v>
      </c>
      <c r="L29" s="3">
        <v>2022</v>
      </c>
      <c r="M29" s="3" t="str" cm="1">
        <f t="array" ref="M29">_xlfn.IFS(I29&lt;=3,"0-3 Years",I29&lt;=8,"4-8 Years",I29&lt;=15,"9-15 Years",I29&gt;15,"15+ Years")</f>
        <v>0-3 Years</v>
      </c>
    </row>
    <row r="30" spans="1:13" x14ac:dyDescent="0.35">
      <c r="A30" s="3" t="s">
        <v>89</v>
      </c>
      <c r="B30" s="3" t="s">
        <v>90</v>
      </c>
      <c r="C30" s="3" t="s">
        <v>12</v>
      </c>
      <c r="D30" s="3">
        <v>44</v>
      </c>
      <c r="E30" s="3" t="s">
        <v>26</v>
      </c>
      <c r="F30" s="3" t="s">
        <v>163</v>
      </c>
      <c r="G30" s="4"/>
      <c r="H30" s="3">
        <v>92000</v>
      </c>
      <c r="I30" s="8">
        <v>17</v>
      </c>
      <c r="J30" s="3" t="s">
        <v>23</v>
      </c>
      <c r="K30" s="3" t="str">
        <f t="shared" si="0"/>
        <v>Active</v>
      </c>
      <c r="L30" s="3">
        <v>2013</v>
      </c>
      <c r="M30" s="3" t="str" cm="1">
        <f t="array" ref="M30">_xlfn.IFS(I30&lt;=3,"0-3 Years",I30&lt;=8,"4-8 Years",I30&lt;=15,"9-15 Years",I30&gt;15,"15+ Years")</f>
        <v>15+ Years</v>
      </c>
    </row>
    <row r="31" spans="1:13" x14ac:dyDescent="0.35">
      <c r="A31" s="3" t="s">
        <v>91</v>
      </c>
      <c r="B31" s="3" t="s">
        <v>92</v>
      </c>
      <c r="C31" s="3" t="s">
        <v>17</v>
      </c>
      <c r="D31" s="3">
        <v>37</v>
      </c>
      <c r="E31" s="3" t="s">
        <v>30</v>
      </c>
      <c r="F31" s="4">
        <v>42402</v>
      </c>
      <c r="G31" s="4"/>
      <c r="H31" s="3">
        <v>73000</v>
      </c>
      <c r="I31" s="8">
        <v>12</v>
      </c>
      <c r="J31" s="3" t="s">
        <v>93</v>
      </c>
      <c r="K31" s="3" t="str">
        <f t="shared" si="0"/>
        <v>Active</v>
      </c>
      <c r="L31" s="3">
        <v>2016</v>
      </c>
      <c r="M31" s="3" t="str" cm="1">
        <f t="array" ref="M31">_xlfn.IFS(I31&lt;=3,"0-3 Years",I31&lt;=8,"4-8 Years",I31&lt;=15,"9-15 Years",I31&gt;15,"15+ Years")</f>
        <v>9-15 Years</v>
      </c>
    </row>
    <row r="32" spans="1:13" x14ac:dyDescent="0.35">
      <c r="A32" s="3" t="s">
        <v>94</v>
      </c>
      <c r="B32" s="3" t="s">
        <v>95</v>
      </c>
      <c r="C32" s="3" t="s">
        <v>12</v>
      </c>
      <c r="D32" s="3">
        <v>52</v>
      </c>
      <c r="E32" s="3" t="s">
        <v>13</v>
      </c>
      <c r="F32" s="4">
        <v>39448</v>
      </c>
      <c r="G32" s="4" t="s">
        <v>164</v>
      </c>
      <c r="H32" s="3">
        <v>105000</v>
      </c>
      <c r="I32" s="8">
        <v>28</v>
      </c>
      <c r="J32" s="3" t="s">
        <v>14</v>
      </c>
      <c r="K32" s="3" t="str">
        <f t="shared" si="0"/>
        <v>Exited</v>
      </c>
      <c r="L32" s="3">
        <v>2008</v>
      </c>
      <c r="M32" s="3" t="str" cm="1">
        <f t="array" ref="M32">_xlfn.IFS(I32&lt;=3,"0-3 Years",I32&lt;=8,"4-8 Years",I32&lt;=15,"9-15 Years",I32&gt;15,"15+ Years")</f>
        <v>15+ Years</v>
      </c>
    </row>
    <row r="33" spans="1:13" x14ac:dyDescent="0.35">
      <c r="A33" s="3" t="s">
        <v>96</v>
      </c>
      <c r="B33" s="3" t="s">
        <v>97</v>
      </c>
      <c r="C33" s="3" t="s">
        <v>17</v>
      </c>
      <c r="D33" s="3">
        <v>28</v>
      </c>
      <c r="E33" s="3" t="s">
        <v>18</v>
      </c>
      <c r="F33" s="4">
        <v>44539</v>
      </c>
      <c r="G33" s="4"/>
      <c r="H33" s="3">
        <v>48000</v>
      </c>
      <c r="I33" s="8">
        <v>3</v>
      </c>
      <c r="J33" s="3" t="s">
        <v>19</v>
      </c>
      <c r="K33" s="3" t="str">
        <f t="shared" si="0"/>
        <v>Active</v>
      </c>
      <c r="L33" s="3">
        <v>2021</v>
      </c>
      <c r="M33" s="3" t="str" cm="1">
        <f t="array" ref="M33">_xlfn.IFS(I33&lt;=3,"0-3 Years",I33&lt;=8,"4-8 Years",I33&lt;=15,"9-15 Years",I33&gt;15,"15+ Years")</f>
        <v>0-3 Years</v>
      </c>
    </row>
    <row r="34" spans="1:13" x14ac:dyDescent="0.35">
      <c r="A34" s="3" t="s">
        <v>98</v>
      </c>
      <c r="B34" s="3" t="s">
        <v>99</v>
      </c>
      <c r="C34" s="3" t="s">
        <v>12</v>
      </c>
      <c r="D34" s="3">
        <v>35</v>
      </c>
      <c r="E34" s="3" t="s">
        <v>34</v>
      </c>
      <c r="F34" s="4">
        <v>42892</v>
      </c>
      <c r="G34" s="4"/>
      <c r="H34" s="3">
        <v>64000</v>
      </c>
      <c r="I34" s="8">
        <v>8</v>
      </c>
      <c r="J34" s="3" t="s">
        <v>100</v>
      </c>
      <c r="K34" s="3" t="str">
        <f t="shared" si="0"/>
        <v>Active</v>
      </c>
      <c r="L34" s="3">
        <v>2017</v>
      </c>
      <c r="M34" s="3" t="str" cm="1">
        <f t="array" ref="M34">_xlfn.IFS(I34&lt;=3,"0-3 Years",I34&lt;=8,"4-8 Years",I34&lt;=15,"9-15 Years",I34&gt;15,"15+ Years")</f>
        <v>4-8 Years</v>
      </c>
    </row>
    <row r="35" spans="1:13" x14ac:dyDescent="0.35">
      <c r="A35" s="3" t="s">
        <v>101</v>
      </c>
      <c r="B35" s="3" t="s">
        <v>102</v>
      </c>
      <c r="C35" s="3" t="s">
        <v>17</v>
      </c>
      <c r="D35" s="3">
        <v>41</v>
      </c>
      <c r="E35" s="3" t="s">
        <v>22</v>
      </c>
      <c r="F35" s="3" t="s">
        <v>165</v>
      </c>
      <c r="G35" s="4"/>
      <c r="H35" s="3">
        <v>90000</v>
      </c>
      <c r="I35" s="8">
        <v>19</v>
      </c>
      <c r="J35" s="3" t="s">
        <v>103</v>
      </c>
      <c r="K35" s="3" t="str">
        <f t="shared" si="0"/>
        <v>Active</v>
      </c>
      <c r="L35" s="3">
        <v>2012</v>
      </c>
      <c r="M35" s="3" t="str" cm="1">
        <f t="array" ref="M35">_xlfn.IFS(I35&lt;=3,"0-3 Years",I35&lt;=8,"4-8 Years",I35&lt;=15,"9-15 Years",I35&gt;15,"15+ Years")</f>
        <v>15+ Years</v>
      </c>
    </row>
    <row r="36" spans="1:13" x14ac:dyDescent="0.35">
      <c r="A36" s="3" t="s">
        <v>104</v>
      </c>
      <c r="B36" s="3" t="s">
        <v>105</v>
      </c>
      <c r="C36" s="3" t="s">
        <v>12</v>
      </c>
      <c r="D36" s="3">
        <v>26</v>
      </c>
      <c r="E36" s="3" t="s">
        <v>26</v>
      </c>
      <c r="F36" s="3" t="s">
        <v>166</v>
      </c>
      <c r="G36" s="4"/>
      <c r="H36" s="3">
        <v>38000</v>
      </c>
      <c r="I36" s="8">
        <v>1</v>
      </c>
      <c r="J36" s="3" t="s">
        <v>81</v>
      </c>
      <c r="K36" s="3" t="str">
        <f t="shared" si="0"/>
        <v>Active</v>
      </c>
      <c r="L36" s="3">
        <v>2022</v>
      </c>
      <c r="M36" s="3" t="str" cm="1">
        <f t="array" ref="M36">_xlfn.IFS(I36&lt;=3,"0-3 Years",I36&lt;=8,"4-8 Years",I36&lt;=15,"9-15 Years",I36&gt;15,"15+ Years")</f>
        <v>0-3 Years</v>
      </c>
    </row>
    <row r="37" spans="1:13" x14ac:dyDescent="0.35">
      <c r="A37" s="3" t="s">
        <v>106</v>
      </c>
      <c r="B37" s="3" t="s">
        <v>107</v>
      </c>
      <c r="C37" s="3" t="s">
        <v>17</v>
      </c>
      <c r="D37" s="3">
        <v>33</v>
      </c>
      <c r="E37" s="3" t="s">
        <v>13</v>
      </c>
      <c r="F37" s="4">
        <v>43719</v>
      </c>
      <c r="G37" s="4"/>
      <c r="H37" s="3">
        <v>57000</v>
      </c>
      <c r="I37" s="8">
        <v>7</v>
      </c>
      <c r="J37" s="3" t="s">
        <v>23</v>
      </c>
      <c r="K37" s="3" t="str">
        <f t="shared" si="0"/>
        <v>Active</v>
      </c>
      <c r="L37" s="3">
        <v>2019</v>
      </c>
      <c r="M37" s="3" t="str" cm="1">
        <f t="array" ref="M37">_xlfn.IFS(I37&lt;=3,"0-3 Years",I37&lt;=8,"4-8 Years",I37&lt;=15,"9-15 Years",I37&gt;15,"15+ Years")</f>
        <v>4-8 Years</v>
      </c>
    </row>
    <row r="38" spans="1:13" x14ac:dyDescent="0.35">
      <c r="A38" s="3" t="s">
        <v>108</v>
      </c>
      <c r="B38" s="3" t="s">
        <v>109</v>
      </c>
      <c r="C38" s="3" t="s">
        <v>12</v>
      </c>
      <c r="D38" s="3">
        <v>39</v>
      </c>
      <c r="E38" s="3" t="s">
        <v>30</v>
      </c>
      <c r="F38" s="3" t="s">
        <v>167</v>
      </c>
      <c r="G38" s="4"/>
      <c r="H38" s="3">
        <v>69000</v>
      </c>
      <c r="I38" s="8">
        <v>14</v>
      </c>
      <c r="J38" s="3" t="s">
        <v>110</v>
      </c>
      <c r="K38" s="3" t="str">
        <f t="shared" si="0"/>
        <v>Active</v>
      </c>
      <c r="L38" s="3">
        <v>2015</v>
      </c>
      <c r="M38" s="3" t="str" cm="1">
        <f t="array" ref="M38">_xlfn.IFS(I38&lt;=3,"0-3 Years",I38&lt;=8,"4-8 Years",I38&lt;=15,"9-15 Years",I38&gt;15,"15+ Years")</f>
        <v>9-15 Years</v>
      </c>
    </row>
    <row r="39" spans="1:13" x14ac:dyDescent="0.35">
      <c r="A39" s="3" t="s">
        <v>111</v>
      </c>
      <c r="B39" s="3" t="s">
        <v>112</v>
      </c>
      <c r="C39" s="3" t="s">
        <v>17</v>
      </c>
      <c r="D39" s="3">
        <v>47</v>
      </c>
      <c r="E39" s="3" t="s">
        <v>18</v>
      </c>
      <c r="F39" s="3" t="s">
        <v>168</v>
      </c>
      <c r="G39" s="4"/>
      <c r="H39" s="3">
        <v>85000</v>
      </c>
      <c r="I39" s="8">
        <v>23</v>
      </c>
      <c r="J39" s="3" t="s">
        <v>14</v>
      </c>
      <c r="K39" s="3" t="str">
        <f t="shared" si="0"/>
        <v>Active</v>
      </c>
      <c r="L39" s="3">
        <v>2011</v>
      </c>
      <c r="M39" s="3" t="str" cm="1">
        <f t="array" ref="M39">_xlfn.IFS(I39&lt;=3,"0-3 Years",I39&lt;=8,"4-8 Years",I39&lt;=15,"9-15 Years",I39&gt;15,"15+ Years")</f>
        <v>15+ Years</v>
      </c>
    </row>
    <row r="40" spans="1:13" x14ac:dyDescent="0.35">
      <c r="A40" s="3" t="s">
        <v>113</v>
      </c>
      <c r="B40" s="3" t="s">
        <v>114</v>
      </c>
      <c r="C40" s="3" t="s">
        <v>12</v>
      </c>
      <c r="D40" s="3">
        <v>30</v>
      </c>
      <c r="E40" s="3" t="s">
        <v>34</v>
      </c>
      <c r="F40" s="4">
        <v>44019</v>
      </c>
      <c r="G40" s="4"/>
      <c r="H40" s="3">
        <v>52000</v>
      </c>
      <c r="I40" s="8">
        <v>4</v>
      </c>
      <c r="J40" s="3" t="s">
        <v>45</v>
      </c>
      <c r="K40" s="3" t="str">
        <f t="shared" si="0"/>
        <v>Active</v>
      </c>
      <c r="L40" s="3">
        <v>2020</v>
      </c>
      <c r="M40" s="3" t="str" cm="1">
        <f t="array" ref="M40">_xlfn.IFS(I40&lt;=3,"0-3 Years",I40&lt;=8,"4-8 Years",I40&lt;=15,"9-15 Years",I40&gt;15,"15+ Years")</f>
        <v>4-8 Years</v>
      </c>
    </row>
    <row r="41" spans="1:13" x14ac:dyDescent="0.35">
      <c r="A41" s="3" t="s">
        <v>115</v>
      </c>
      <c r="B41" s="3" t="s">
        <v>116</v>
      </c>
      <c r="C41" s="3" t="s">
        <v>17</v>
      </c>
      <c r="D41" s="3">
        <v>35</v>
      </c>
      <c r="E41" s="3" t="s">
        <v>26</v>
      </c>
      <c r="F41" s="4">
        <v>43162</v>
      </c>
      <c r="G41" s="4"/>
      <c r="H41" s="3">
        <v>64000</v>
      </c>
      <c r="I41" s="8">
        <v>9</v>
      </c>
      <c r="J41" s="3" t="s">
        <v>67</v>
      </c>
      <c r="K41" s="3" t="str">
        <f t="shared" si="0"/>
        <v>Active</v>
      </c>
      <c r="L41" s="3">
        <v>2018</v>
      </c>
      <c r="M41" s="3" t="str" cm="1">
        <f t="array" ref="M41">_xlfn.IFS(I41&lt;=3,"0-3 Years",I41&lt;=8,"4-8 Years",I41&lt;=15,"9-15 Years",I41&gt;15,"15+ Years")</f>
        <v>9-15 Years</v>
      </c>
    </row>
    <row r="42" spans="1:13" x14ac:dyDescent="0.35">
      <c r="A42" s="3" t="s">
        <v>117</v>
      </c>
      <c r="B42" s="3" t="s">
        <v>118</v>
      </c>
      <c r="C42" s="3" t="s">
        <v>12</v>
      </c>
      <c r="D42" s="3">
        <v>43</v>
      </c>
      <c r="E42" s="3" t="s">
        <v>22</v>
      </c>
      <c r="F42" s="3" t="s">
        <v>169</v>
      </c>
      <c r="G42" s="4"/>
      <c r="H42" s="3">
        <v>98000</v>
      </c>
      <c r="I42" s="8">
        <v>18</v>
      </c>
      <c r="J42" s="3" t="s">
        <v>37</v>
      </c>
      <c r="K42" s="3" t="str">
        <f t="shared" si="0"/>
        <v>Active</v>
      </c>
      <c r="L42" s="3">
        <v>2012</v>
      </c>
      <c r="M42" s="3" t="str" cm="1">
        <f t="array" ref="M42">_xlfn.IFS(I42&lt;=3,"0-3 Years",I42&lt;=8,"4-8 Years",I42&lt;=15,"9-15 Years",I42&gt;15,"15+ Years")</f>
        <v>15+ Years</v>
      </c>
    </row>
    <row r="43" spans="1:13" x14ac:dyDescent="0.35">
      <c r="A43" s="3" t="s">
        <v>119</v>
      </c>
      <c r="B43" s="3" t="s">
        <v>120</v>
      </c>
      <c r="C43" s="3" t="s">
        <v>17</v>
      </c>
      <c r="D43" s="3">
        <v>29</v>
      </c>
      <c r="E43" s="3" t="s">
        <v>13</v>
      </c>
      <c r="F43" s="3" t="s">
        <v>170</v>
      </c>
      <c r="G43" s="4"/>
      <c r="H43" s="3">
        <v>47000</v>
      </c>
      <c r="I43" s="8">
        <v>3</v>
      </c>
      <c r="J43" s="3" t="s">
        <v>121</v>
      </c>
      <c r="K43" s="3" t="str">
        <f t="shared" si="0"/>
        <v>Active</v>
      </c>
      <c r="L43" s="3">
        <v>2021</v>
      </c>
      <c r="M43" s="3" t="str" cm="1">
        <f t="array" ref="M43">_xlfn.IFS(I43&lt;=3,"0-3 Years",I43&lt;=8,"4-8 Years",I43&lt;=15,"9-15 Years",I43&gt;15,"15+ Years")</f>
        <v>0-3 Years</v>
      </c>
    </row>
    <row r="44" spans="1:13" x14ac:dyDescent="0.35">
      <c r="A44" s="3" t="s">
        <v>122</v>
      </c>
      <c r="B44" s="3" t="s">
        <v>123</v>
      </c>
      <c r="C44" s="3" t="s">
        <v>12</v>
      </c>
      <c r="D44" s="3">
        <v>34</v>
      </c>
      <c r="E44" s="3" t="s">
        <v>30</v>
      </c>
      <c r="F44" s="4">
        <v>43739</v>
      </c>
      <c r="G44" s="4"/>
      <c r="H44" s="3">
        <v>61000</v>
      </c>
      <c r="I44" s="8">
        <v>6</v>
      </c>
      <c r="J44" s="3" t="s">
        <v>124</v>
      </c>
      <c r="K44" s="3" t="str">
        <f t="shared" si="0"/>
        <v>Active</v>
      </c>
      <c r="L44" s="3">
        <v>2019</v>
      </c>
      <c r="M44" s="3" t="str" cm="1">
        <f t="array" ref="M44">_xlfn.IFS(I44&lt;=3,"0-3 Years",I44&lt;=8,"4-8 Years",I44&lt;=15,"9-15 Years",I44&gt;15,"15+ Years")</f>
        <v>4-8 Years</v>
      </c>
    </row>
    <row r="45" spans="1:13" x14ac:dyDescent="0.35">
      <c r="A45" s="3" t="s">
        <v>125</v>
      </c>
      <c r="B45" s="3" t="s">
        <v>126</v>
      </c>
      <c r="C45" s="3" t="s">
        <v>17</v>
      </c>
      <c r="D45" s="3">
        <v>38</v>
      </c>
      <c r="E45" s="3" t="s">
        <v>34</v>
      </c>
      <c r="F45" s="3" t="s">
        <v>171</v>
      </c>
      <c r="G45" s="4"/>
      <c r="H45" s="3">
        <v>75000</v>
      </c>
      <c r="I45" s="8">
        <v>12</v>
      </c>
      <c r="J45" s="3" t="s">
        <v>61</v>
      </c>
      <c r="K45" s="3" t="str">
        <f t="shared" si="0"/>
        <v>Active</v>
      </c>
      <c r="L45" s="3">
        <v>2015</v>
      </c>
      <c r="M45" s="3" t="str" cm="1">
        <f t="array" ref="M45">_xlfn.IFS(I45&lt;=3,"0-3 Years",I45&lt;=8,"4-8 Years",I45&lt;=15,"9-15 Years",I45&gt;15,"15+ Years")</f>
        <v>9-15 Years</v>
      </c>
    </row>
    <row r="46" spans="1:13" x14ac:dyDescent="0.35">
      <c r="A46" s="3" t="s">
        <v>127</v>
      </c>
      <c r="B46" s="3" t="s">
        <v>128</v>
      </c>
      <c r="C46" s="3" t="s">
        <v>12</v>
      </c>
      <c r="D46" s="3">
        <v>28</v>
      </c>
      <c r="E46" s="3" t="s">
        <v>26</v>
      </c>
      <c r="F46" s="4">
        <v>44686</v>
      </c>
      <c r="G46" s="4"/>
      <c r="H46" s="3">
        <v>42000</v>
      </c>
      <c r="I46" s="8">
        <v>2</v>
      </c>
      <c r="J46" s="3" t="s">
        <v>129</v>
      </c>
      <c r="K46" s="3" t="str">
        <f t="shared" si="0"/>
        <v>Active</v>
      </c>
      <c r="L46" s="3">
        <v>2022</v>
      </c>
      <c r="M46" s="3" t="str" cm="1">
        <f t="array" ref="M46">_xlfn.IFS(I46&lt;=3,"0-3 Years",I46&lt;=8,"4-8 Years",I46&lt;=15,"9-15 Years",I46&gt;15,"15+ Years")</f>
        <v>0-3 Years</v>
      </c>
    </row>
    <row r="47" spans="1:13" x14ac:dyDescent="0.35">
      <c r="A47" s="3" t="s">
        <v>130</v>
      </c>
      <c r="B47" s="3" t="s">
        <v>131</v>
      </c>
      <c r="C47" s="3" t="s">
        <v>17</v>
      </c>
      <c r="D47" s="3">
        <v>31</v>
      </c>
      <c r="E47" s="3" t="s">
        <v>18</v>
      </c>
      <c r="F47" s="4">
        <v>43780</v>
      </c>
      <c r="G47" s="4"/>
      <c r="H47" s="3">
        <v>56000</v>
      </c>
      <c r="I47" s="8">
        <v>6</v>
      </c>
      <c r="J47" s="3" t="s">
        <v>132</v>
      </c>
      <c r="K47" s="3" t="str">
        <f t="shared" si="0"/>
        <v>Active</v>
      </c>
      <c r="L47" s="3">
        <v>2019</v>
      </c>
      <c r="M47" s="3" t="str" cm="1">
        <f t="array" ref="M47">_xlfn.IFS(I47&lt;=3,"0-3 Years",I47&lt;=8,"4-8 Years",I47&lt;=15,"9-15 Years",I47&gt;15,"15+ Years")</f>
        <v>4-8 Years</v>
      </c>
    </row>
    <row r="48" spans="1:13" x14ac:dyDescent="0.35">
      <c r="A48" s="3" t="s">
        <v>133</v>
      </c>
      <c r="B48" s="3" t="s">
        <v>134</v>
      </c>
      <c r="C48" s="3" t="s">
        <v>12</v>
      </c>
      <c r="D48" s="3">
        <v>46</v>
      </c>
      <c r="E48" s="3" t="s">
        <v>13</v>
      </c>
      <c r="F48" s="3" t="s">
        <v>172</v>
      </c>
      <c r="G48" s="4"/>
      <c r="H48" s="3">
        <v>94000</v>
      </c>
      <c r="I48" s="8">
        <v>22</v>
      </c>
      <c r="J48" s="3" t="s">
        <v>135</v>
      </c>
      <c r="K48" s="3" t="str">
        <f t="shared" si="0"/>
        <v>Active</v>
      </c>
      <c r="L48" s="3">
        <v>2010</v>
      </c>
      <c r="M48" s="3" t="str" cm="1">
        <f t="array" ref="M48">_xlfn.IFS(I48&lt;=3,"0-3 Years",I48&lt;=8,"4-8 Years",I48&lt;=15,"9-15 Years",I48&gt;15,"15+ Years")</f>
        <v>15+ Years</v>
      </c>
    </row>
    <row r="49" spans="1:13" x14ac:dyDescent="0.35">
      <c r="A49" s="3" t="s">
        <v>136</v>
      </c>
      <c r="B49" s="3" t="s">
        <v>137</v>
      </c>
      <c r="C49" s="3" t="s">
        <v>17</v>
      </c>
      <c r="D49" s="3">
        <v>27</v>
      </c>
      <c r="E49" s="3" t="s">
        <v>22</v>
      </c>
      <c r="F49" s="3" t="s">
        <v>173</v>
      </c>
      <c r="G49" s="4"/>
      <c r="H49" s="3">
        <v>48000</v>
      </c>
      <c r="I49" s="8">
        <v>3</v>
      </c>
      <c r="J49" s="3" t="s">
        <v>138</v>
      </c>
      <c r="K49" s="3" t="str">
        <f t="shared" si="0"/>
        <v>Active</v>
      </c>
      <c r="L49" s="3">
        <v>2021</v>
      </c>
      <c r="M49" s="3" t="str" cm="1">
        <f t="array" ref="M49">_xlfn.IFS(I49&lt;=3,"0-3 Years",I49&lt;=8,"4-8 Years",I49&lt;=15,"9-15 Years",I49&gt;15,"15+ Years")</f>
        <v>0-3 Years</v>
      </c>
    </row>
    <row r="50" spans="1:13" x14ac:dyDescent="0.35">
      <c r="A50" s="3" t="s">
        <v>139</v>
      </c>
      <c r="B50" s="3" t="s">
        <v>140</v>
      </c>
      <c r="C50" s="3" t="s">
        <v>12</v>
      </c>
      <c r="D50" s="3">
        <v>50</v>
      </c>
      <c r="E50" s="3" t="s">
        <v>30</v>
      </c>
      <c r="F50" s="4">
        <v>40065</v>
      </c>
      <c r="G50" s="4"/>
      <c r="H50" s="3">
        <v>102000</v>
      </c>
      <c r="I50" s="8">
        <v>26</v>
      </c>
      <c r="J50" s="3" t="s">
        <v>141</v>
      </c>
      <c r="K50" s="3" t="str">
        <f t="shared" si="0"/>
        <v>Active</v>
      </c>
      <c r="L50" s="3">
        <v>2009</v>
      </c>
      <c r="M50" s="3" t="str" cm="1">
        <f t="array" ref="M50">_xlfn.IFS(I50&lt;=3,"0-3 Years",I50&lt;=8,"4-8 Years",I50&lt;=15,"9-15 Years",I50&gt;15,"15+ Years")</f>
        <v>15+ Years</v>
      </c>
    </row>
    <row r="51" spans="1:13" x14ac:dyDescent="0.35">
      <c r="A51" s="3" t="s">
        <v>142</v>
      </c>
      <c r="B51" s="3" t="s">
        <v>143</v>
      </c>
      <c r="C51" s="3" t="s">
        <v>17</v>
      </c>
      <c r="D51" s="3">
        <v>34</v>
      </c>
      <c r="E51" s="3" t="s">
        <v>26</v>
      </c>
      <c r="F51" s="4">
        <v>43101</v>
      </c>
      <c r="G51" s="4"/>
      <c r="H51" s="3">
        <v>66000</v>
      </c>
      <c r="I51" s="8">
        <v>8</v>
      </c>
      <c r="J51" s="3" t="s">
        <v>144</v>
      </c>
      <c r="K51" s="3" t="str">
        <f t="shared" si="0"/>
        <v>Active</v>
      </c>
      <c r="L51" s="3">
        <v>2018</v>
      </c>
      <c r="M51" s="3" t="str" cm="1">
        <f t="array" ref="M51">_xlfn.IFS(I51&lt;=3,"0-3 Years",I51&lt;=8,"4-8 Years",I51&lt;=15,"9-15 Years",I51&gt;15,"15+ Years")</f>
        <v>4-8 Years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68D25-1EAF-48A9-A0B9-A0208A48A750}">
  <sheetPr codeName="Sheet2"/>
  <dimension ref="A1:F2"/>
  <sheetViews>
    <sheetView zoomScale="139" workbookViewId="0">
      <selection activeCell="B4" sqref="B4"/>
    </sheetView>
  </sheetViews>
  <sheetFormatPr defaultRowHeight="14.5" x14ac:dyDescent="0.35"/>
  <cols>
    <col min="1" max="1" width="14.453125" bestFit="1" customWidth="1"/>
    <col min="2" max="2" width="15.54296875" bestFit="1" customWidth="1"/>
    <col min="3" max="3" width="15.6328125" bestFit="1" customWidth="1"/>
    <col min="4" max="4" width="9.54296875" bestFit="1" customWidth="1"/>
    <col min="5" max="5" width="13" bestFit="1" customWidth="1"/>
    <col min="6" max="6" width="17.1796875" bestFit="1" customWidth="1"/>
  </cols>
  <sheetData>
    <row r="1" spans="1:6" x14ac:dyDescent="0.35">
      <c r="A1" s="13" t="s">
        <v>175</v>
      </c>
      <c r="B1" s="13" t="s">
        <v>176</v>
      </c>
      <c r="C1" s="13" t="s">
        <v>177</v>
      </c>
      <c r="D1" s="13" t="s">
        <v>178</v>
      </c>
      <c r="E1" s="13" t="s">
        <v>179</v>
      </c>
      <c r="F1" s="13" t="s">
        <v>180</v>
      </c>
    </row>
    <row r="2" spans="1:6" x14ac:dyDescent="0.35">
      <c r="A2" s="11">
        <f>COUNTA('Raw Data'!$A$2:$A$51)</f>
        <v>50</v>
      </c>
      <c r="B2" s="12">
        <f>COUNTIF('Raw Data'!K:K,"Active")</f>
        <v>45</v>
      </c>
      <c r="C2" s="12">
        <f>COUNTIF('Raw Data'!K:K,"Exited")</f>
        <v>5</v>
      </c>
      <c r="D2" s="14">
        <f>C2/A2</f>
        <v>0.1</v>
      </c>
      <c r="E2" s="12">
        <f>AVERAGE('Raw Data'!H2:H51)</f>
        <v>66280</v>
      </c>
      <c r="F2" s="15" t="str">
        <f>AVERAGE('Raw Data'!I2:I51)&amp;" Years "</f>
        <v xml:space="preserve">10.36 Years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77F3A-95A9-4E05-A782-707A3F7432B3}">
  <sheetPr codeName="Sheet3"/>
  <dimension ref="A1:AF32"/>
  <sheetViews>
    <sheetView zoomScale="85" zoomScaleNormal="85" workbookViewId="0">
      <selection activeCell="G18" sqref="G18"/>
    </sheetView>
  </sheetViews>
  <sheetFormatPr defaultRowHeight="14.5" x14ac:dyDescent="0.35"/>
  <cols>
    <col min="1" max="1" width="13.1796875" bestFit="1" customWidth="1"/>
    <col min="2" max="2" width="13.90625" bestFit="1" customWidth="1"/>
    <col min="3" max="3" width="13" bestFit="1" customWidth="1"/>
    <col min="4" max="4" width="13.36328125" bestFit="1" customWidth="1"/>
    <col min="6" max="6" width="20.90625" customWidth="1"/>
    <col min="7" max="7" width="22.453125" customWidth="1"/>
    <col min="9" max="9" width="13.1796875" bestFit="1" customWidth="1"/>
    <col min="10" max="10" width="19.54296875" bestFit="1" customWidth="1"/>
    <col min="11" max="11" width="15.1796875" bestFit="1" customWidth="1"/>
    <col min="12" max="12" width="6.26953125" customWidth="1"/>
    <col min="13" max="13" width="13.1796875" bestFit="1" customWidth="1"/>
    <col min="14" max="14" width="13.90625" bestFit="1" customWidth="1"/>
    <col min="16" max="16" width="27" customWidth="1"/>
    <col min="17" max="17" width="22.81640625" customWidth="1"/>
    <col min="19" max="19" width="13.1796875" bestFit="1" customWidth="1"/>
    <col min="20" max="20" width="9.7265625" bestFit="1" customWidth="1"/>
    <col min="22" max="22" width="23.453125" customWidth="1"/>
    <col min="23" max="23" width="17.453125" customWidth="1"/>
    <col min="25" max="25" width="13.1796875" bestFit="1" customWidth="1"/>
    <col min="26" max="26" width="19.6328125" bestFit="1" customWidth="1"/>
    <col min="28" max="28" width="19.08984375" customWidth="1"/>
    <col min="29" max="29" width="26.36328125" customWidth="1"/>
    <col min="30" max="30" width="13.36328125" bestFit="1" customWidth="1"/>
    <col min="31" max="31" width="13.1796875" bestFit="1" customWidth="1"/>
    <col min="32" max="32" width="20.54296875" bestFit="1" customWidth="1"/>
  </cols>
  <sheetData>
    <row r="1" spans="1:32" ht="14.5" customHeight="1" x14ac:dyDescent="0.35">
      <c r="A1" s="21" t="s">
        <v>188</v>
      </c>
      <c r="B1" s="22"/>
      <c r="C1" s="22"/>
      <c r="D1" s="22"/>
      <c r="F1" s="21" t="s">
        <v>189</v>
      </c>
      <c r="G1" s="21"/>
      <c r="I1" s="21" t="s">
        <v>194</v>
      </c>
      <c r="J1" s="21"/>
      <c r="K1" s="21"/>
      <c r="M1" s="21" t="s">
        <v>195</v>
      </c>
      <c r="N1" s="22"/>
      <c r="P1" s="21" t="s">
        <v>196</v>
      </c>
      <c r="Q1" s="22"/>
      <c r="S1" s="21" t="s">
        <v>197</v>
      </c>
      <c r="T1" s="22"/>
      <c r="V1" s="21" t="s">
        <v>199</v>
      </c>
      <c r="W1" s="22"/>
      <c r="Y1" s="21" t="s">
        <v>180</v>
      </c>
      <c r="Z1" s="22"/>
      <c r="AB1" s="21" t="s">
        <v>201</v>
      </c>
      <c r="AC1" s="22"/>
      <c r="AE1" s="21" t="s">
        <v>203</v>
      </c>
      <c r="AF1" s="22"/>
    </row>
    <row r="2" spans="1:32" ht="14.5" customHeight="1" x14ac:dyDescent="0.35">
      <c r="A2" s="22"/>
      <c r="B2" s="22"/>
      <c r="C2" s="22"/>
      <c r="D2" s="22"/>
      <c r="F2" s="21"/>
      <c r="G2" s="21"/>
      <c r="I2" s="21"/>
      <c r="J2" s="21"/>
      <c r="K2" s="21"/>
      <c r="M2" s="22"/>
      <c r="N2" s="22"/>
      <c r="P2" s="22"/>
      <c r="Q2" s="22"/>
      <c r="S2" s="22"/>
      <c r="T2" s="22"/>
      <c r="V2" s="22"/>
      <c r="W2" s="22"/>
      <c r="Y2" s="22"/>
      <c r="Z2" s="22"/>
      <c r="AB2" s="22"/>
      <c r="AC2" s="22"/>
      <c r="AE2" s="22"/>
      <c r="AF2" s="22"/>
    </row>
    <row r="3" spans="1:32" ht="14.5" customHeight="1" x14ac:dyDescent="0.35">
      <c r="A3" s="22"/>
      <c r="B3" s="22"/>
      <c r="C3" s="22"/>
      <c r="D3" s="22"/>
      <c r="F3" s="21"/>
      <c r="G3" s="21"/>
      <c r="I3" s="21"/>
      <c r="J3" s="21"/>
      <c r="K3" s="21"/>
      <c r="M3" s="22"/>
      <c r="N3" s="22"/>
      <c r="P3" s="22"/>
      <c r="Q3" s="22"/>
      <c r="S3" s="22"/>
      <c r="T3" s="22"/>
      <c r="V3" s="22"/>
      <c r="W3" s="22"/>
      <c r="Y3" s="22"/>
      <c r="Z3" s="22"/>
      <c r="AB3" s="22"/>
      <c r="AC3" s="22"/>
      <c r="AE3" s="22"/>
      <c r="AF3" s="22"/>
    </row>
    <row r="4" spans="1:32" x14ac:dyDescent="0.35">
      <c r="A4" s="16" t="s">
        <v>181</v>
      </c>
      <c r="B4" t="s">
        <v>184</v>
      </c>
      <c r="C4" t="s">
        <v>179</v>
      </c>
      <c r="D4" s="18" t="s">
        <v>187</v>
      </c>
      <c r="F4" s="16" t="s">
        <v>181</v>
      </c>
      <c r="G4" s="18" t="s">
        <v>183</v>
      </c>
      <c r="I4" s="16" t="s">
        <v>181</v>
      </c>
      <c r="J4" s="18" t="s">
        <v>193</v>
      </c>
      <c r="K4" t="s">
        <v>186</v>
      </c>
      <c r="M4" s="16" t="s">
        <v>181</v>
      </c>
      <c r="N4" s="18" t="s">
        <v>184</v>
      </c>
      <c r="P4" s="16" t="s">
        <v>181</v>
      </c>
      <c r="Q4" t="s">
        <v>185</v>
      </c>
      <c r="S4" s="16" t="s">
        <v>181</v>
      </c>
      <c r="T4" s="18" t="s">
        <v>178</v>
      </c>
      <c r="V4" s="20" t="s">
        <v>181</v>
      </c>
      <c r="W4" s="18" t="s">
        <v>198</v>
      </c>
      <c r="Y4" s="16" t="s">
        <v>181</v>
      </c>
      <c r="Z4" t="s">
        <v>200</v>
      </c>
      <c r="AB4" s="16" t="s">
        <v>181</v>
      </c>
      <c r="AC4" s="18" t="s">
        <v>202</v>
      </c>
      <c r="AE4" s="16" t="s">
        <v>181</v>
      </c>
      <c r="AF4" t="s">
        <v>203</v>
      </c>
    </row>
    <row r="5" spans="1:32" x14ac:dyDescent="0.35">
      <c r="A5" s="17" t="s">
        <v>22</v>
      </c>
      <c r="B5" s="39">
        <v>8</v>
      </c>
      <c r="C5" s="6">
        <v>83000</v>
      </c>
      <c r="D5" s="39">
        <v>1</v>
      </c>
      <c r="F5" s="17" t="s">
        <v>17</v>
      </c>
      <c r="G5" s="39">
        <v>25</v>
      </c>
      <c r="I5" s="17" t="s">
        <v>190</v>
      </c>
      <c r="J5" s="39">
        <v>11</v>
      </c>
      <c r="K5" s="6">
        <v>42818.181818181816</v>
      </c>
      <c r="M5" s="17" t="s">
        <v>14</v>
      </c>
      <c r="N5" s="39">
        <v>6</v>
      </c>
      <c r="P5" s="17">
        <v>2008</v>
      </c>
      <c r="Q5" s="39">
        <v>105000</v>
      </c>
      <c r="S5" s="17" t="s">
        <v>22</v>
      </c>
      <c r="T5" s="19">
        <v>0.2</v>
      </c>
      <c r="V5" s="17" t="s">
        <v>47</v>
      </c>
      <c r="W5">
        <v>110000</v>
      </c>
      <c r="Y5" s="17" t="s">
        <v>22</v>
      </c>
      <c r="Z5" s="9">
        <v>14.125</v>
      </c>
      <c r="AB5" s="17" t="s">
        <v>22</v>
      </c>
      <c r="AC5">
        <v>8</v>
      </c>
      <c r="AE5" s="17" t="s">
        <v>22</v>
      </c>
      <c r="AF5">
        <v>664000</v>
      </c>
    </row>
    <row r="6" spans="1:32" x14ac:dyDescent="0.35">
      <c r="A6" s="17" t="s">
        <v>18</v>
      </c>
      <c r="B6" s="39">
        <v>7</v>
      </c>
      <c r="C6" s="6">
        <v>61000</v>
      </c>
      <c r="D6" s="39">
        <v>1</v>
      </c>
      <c r="F6" s="17" t="s">
        <v>12</v>
      </c>
      <c r="G6" s="39">
        <v>25</v>
      </c>
      <c r="I6" s="17" t="s">
        <v>206</v>
      </c>
      <c r="J6" s="39">
        <v>12</v>
      </c>
      <c r="K6" s="6">
        <v>94250</v>
      </c>
      <c r="M6" s="17" t="s">
        <v>141</v>
      </c>
      <c r="N6" s="39">
        <v>1</v>
      </c>
      <c r="P6" s="17">
        <v>2009</v>
      </c>
      <c r="Q6" s="39">
        <v>102000</v>
      </c>
      <c r="S6" s="17" t="s">
        <v>18</v>
      </c>
      <c r="T6" s="19">
        <v>0.2</v>
      </c>
      <c r="V6" s="17" t="s">
        <v>95</v>
      </c>
      <c r="W6">
        <v>105000</v>
      </c>
      <c r="Y6" s="17" t="s">
        <v>18</v>
      </c>
      <c r="Z6" s="9">
        <v>10.428571428571429</v>
      </c>
      <c r="AB6" s="17" t="s">
        <v>18</v>
      </c>
      <c r="AC6">
        <v>7</v>
      </c>
      <c r="AE6" s="17" t="s">
        <v>18</v>
      </c>
      <c r="AF6">
        <v>427000</v>
      </c>
    </row>
    <row r="7" spans="1:32" x14ac:dyDescent="0.35">
      <c r="A7" s="17" t="s">
        <v>26</v>
      </c>
      <c r="B7" s="39">
        <v>10</v>
      </c>
      <c r="C7" s="6">
        <v>56000</v>
      </c>
      <c r="D7" s="39">
        <v>0</v>
      </c>
      <c r="F7" s="17" t="s">
        <v>182</v>
      </c>
      <c r="G7" s="39">
        <v>50</v>
      </c>
      <c r="I7" s="17" t="s">
        <v>191</v>
      </c>
      <c r="J7" s="39">
        <v>14</v>
      </c>
      <c r="K7" s="6">
        <v>55928.571428571428</v>
      </c>
      <c r="M7" s="17" t="s">
        <v>42</v>
      </c>
      <c r="N7" s="39">
        <v>1</v>
      </c>
      <c r="P7" s="17">
        <v>2010</v>
      </c>
      <c r="Q7" s="39">
        <v>286000</v>
      </c>
      <c r="S7" s="17" t="s">
        <v>26</v>
      </c>
      <c r="T7" s="19">
        <v>0</v>
      </c>
      <c r="V7" s="17" t="s">
        <v>140</v>
      </c>
      <c r="W7">
        <v>102000</v>
      </c>
      <c r="Y7" s="17" t="s">
        <v>26</v>
      </c>
      <c r="Z7" s="9">
        <v>5.9</v>
      </c>
      <c r="AB7" s="17" t="s">
        <v>26</v>
      </c>
      <c r="AC7">
        <v>10</v>
      </c>
      <c r="AE7" s="17" t="s">
        <v>26</v>
      </c>
      <c r="AF7">
        <v>560000</v>
      </c>
    </row>
    <row r="8" spans="1:32" x14ac:dyDescent="0.35">
      <c r="A8" s="17" t="s">
        <v>34</v>
      </c>
      <c r="B8" s="39">
        <v>8</v>
      </c>
      <c r="C8" s="6">
        <v>58125</v>
      </c>
      <c r="D8" s="39">
        <v>0</v>
      </c>
      <c r="I8" s="17" t="s">
        <v>192</v>
      </c>
      <c r="J8" s="39">
        <v>13</v>
      </c>
      <c r="K8" s="6">
        <v>71461.538461538468</v>
      </c>
      <c r="M8" s="17" t="s">
        <v>37</v>
      </c>
      <c r="N8" s="39">
        <v>4</v>
      </c>
      <c r="P8" s="17">
        <v>2011</v>
      </c>
      <c r="Q8" s="39">
        <v>173000</v>
      </c>
      <c r="S8" s="17" t="s">
        <v>34</v>
      </c>
      <c r="T8" s="19">
        <v>0</v>
      </c>
      <c r="V8" s="17" t="s">
        <v>118</v>
      </c>
      <c r="W8">
        <v>98000</v>
      </c>
      <c r="Y8" s="17" t="s">
        <v>34</v>
      </c>
      <c r="Z8" s="9">
        <v>7</v>
      </c>
      <c r="AB8" s="17" t="s">
        <v>34</v>
      </c>
      <c r="AC8">
        <v>8</v>
      </c>
      <c r="AE8" s="17" t="s">
        <v>34</v>
      </c>
      <c r="AF8">
        <v>465000</v>
      </c>
    </row>
    <row r="9" spans="1:32" x14ac:dyDescent="0.35">
      <c r="A9" s="17" t="s">
        <v>30</v>
      </c>
      <c r="B9" s="39">
        <v>8</v>
      </c>
      <c r="C9" s="6">
        <v>74750</v>
      </c>
      <c r="D9" s="39">
        <v>1</v>
      </c>
      <c r="I9" s="17" t="s">
        <v>182</v>
      </c>
      <c r="J9" s="39">
        <v>50</v>
      </c>
      <c r="K9" s="39">
        <v>66280</v>
      </c>
      <c r="M9" s="17" t="s">
        <v>103</v>
      </c>
      <c r="N9" s="39">
        <v>1</v>
      </c>
      <c r="P9" s="17">
        <v>2012</v>
      </c>
      <c r="Q9" s="39">
        <v>283000</v>
      </c>
      <c r="S9" s="17" t="s">
        <v>30</v>
      </c>
      <c r="T9" s="19">
        <v>0.2</v>
      </c>
      <c r="V9" s="17" t="s">
        <v>56</v>
      </c>
      <c r="W9">
        <v>95000</v>
      </c>
      <c r="Y9" s="17" t="s">
        <v>30</v>
      </c>
      <c r="Z9" s="9">
        <v>14.25</v>
      </c>
      <c r="AB9" s="17" t="s">
        <v>30</v>
      </c>
      <c r="AC9">
        <v>8</v>
      </c>
      <c r="AE9" s="17" t="s">
        <v>30</v>
      </c>
      <c r="AF9">
        <v>598000</v>
      </c>
    </row>
    <row r="10" spans="1:32" x14ac:dyDescent="0.35">
      <c r="A10" s="17" t="s">
        <v>13</v>
      </c>
      <c r="B10" s="39">
        <v>9</v>
      </c>
      <c r="C10" s="6">
        <v>66666.666666666672</v>
      </c>
      <c r="D10" s="39">
        <v>2</v>
      </c>
      <c r="M10" s="17" t="s">
        <v>54</v>
      </c>
      <c r="N10" s="39">
        <v>1</v>
      </c>
      <c r="P10" s="17">
        <v>2013</v>
      </c>
      <c r="Q10" s="39">
        <v>92000</v>
      </c>
      <c r="S10" s="17" t="s">
        <v>13</v>
      </c>
      <c r="T10" s="19">
        <v>0.4</v>
      </c>
      <c r="Y10" s="17" t="s">
        <v>13</v>
      </c>
      <c r="Z10" s="9">
        <v>11.444444444444445</v>
      </c>
      <c r="AB10" s="17" t="s">
        <v>13</v>
      </c>
      <c r="AC10">
        <v>9</v>
      </c>
      <c r="AE10" s="17" t="s">
        <v>13</v>
      </c>
      <c r="AF10">
        <v>600000</v>
      </c>
    </row>
    <row r="11" spans="1:32" x14ac:dyDescent="0.35">
      <c r="A11" s="17" t="s">
        <v>182</v>
      </c>
      <c r="B11" s="39">
        <v>50</v>
      </c>
      <c r="C11" s="39">
        <v>66280</v>
      </c>
      <c r="D11" s="39">
        <v>5</v>
      </c>
      <c r="M11" s="17" t="s">
        <v>27</v>
      </c>
      <c r="N11" s="39">
        <v>2</v>
      </c>
      <c r="P11" s="17">
        <v>2014</v>
      </c>
      <c r="Q11" s="39">
        <v>153000</v>
      </c>
      <c r="S11" s="17" t="s">
        <v>182</v>
      </c>
      <c r="T11" s="19">
        <v>1</v>
      </c>
      <c r="AB11" s="17" t="s">
        <v>182</v>
      </c>
      <c r="AC11">
        <v>50</v>
      </c>
      <c r="AE11" s="17" t="s">
        <v>182</v>
      </c>
      <c r="AF11">
        <v>3314000</v>
      </c>
    </row>
    <row r="12" spans="1:32" x14ac:dyDescent="0.35">
      <c r="M12" s="17" t="s">
        <v>81</v>
      </c>
      <c r="N12" s="39">
        <v>2</v>
      </c>
      <c r="P12" s="17">
        <v>2015</v>
      </c>
      <c r="Q12" s="39">
        <v>312000</v>
      </c>
    </row>
    <row r="13" spans="1:32" x14ac:dyDescent="0.35">
      <c r="M13" s="17" t="s">
        <v>138</v>
      </c>
      <c r="N13" s="39">
        <v>1</v>
      </c>
      <c r="P13" s="17">
        <v>2016</v>
      </c>
      <c r="Q13" s="39">
        <v>233000</v>
      </c>
    </row>
    <row r="14" spans="1:32" x14ac:dyDescent="0.35">
      <c r="M14" s="17" t="s">
        <v>93</v>
      </c>
      <c r="N14" s="39">
        <v>1</v>
      </c>
      <c r="P14" s="17">
        <v>2017</v>
      </c>
      <c r="Q14" s="39">
        <v>191000</v>
      </c>
    </row>
    <row r="15" spans="1:32" x14ac:dyDescent="0.35">
      <c r="M15" s="17" t="s">
        <v>31</v>
      </c>
      <c r="N15" s="39">
        <v>2</v>
      </c>
      <c r="P15" s="17">
        <v>2018</v>
      </c>
      <c r="Q15" s="39">
        <v>260000</v>
      </c>
    </row>
    <row r="16" spans="1:32" x14ac:dyDescent="0.35">
      <c r="M16" s="17" t="s">
        <v>132</v>
      </c>
      <c r="N16" s="39">
        <v>1</v>
      </c>
      <c r="P16" s="17">
        <v>2019</v>
      </c>
      <c r="Q16" s="39">
        <v>400000</v>
      </c>
    </row>
    <row r="17" spans="13:17" x14ac:dyDescent="0.35">
      <c r="M17" s="17" t="s">
        <v>67</v>
      </c>
      <c r="N17" s="39">
        <v>2</v>
      </c>
      <c r="P17" s="17">
        <v>2020</v>
      </c>
      <c r="Q17" s="39">
        <v>203000</v>
      </c>
    </row>
    <row r="18" spans="13:17" x14ac:dyDescent="0.35">
      <c r="M18" s="17" t="s">
        <v>61</v>
      </c>
      <c r="N18" s="39">
        <v>3</v>
      </c>
      <c r="P18" s="17">
        <v>2021</v>
      </c>
      <c r="Q18" s="39">
        <v>287000</v>
      </c>
    </row>
    <row r="19" spans="13:17" x14ac:dyDescent="0.35">
      <c r="M19" s="17" t="s">
        <v>110</v>
      </c>
      <c r="N19" s="39">
        <v>1</v>
      </c>
      <c r="P19" s="17">
        <v>2022</v>
      </c>
      <c r="Q19" s="39">
        <v>199000</v>
      </c>
    </row>
    <row r="20" spans="13:17" x14ac:dyDescent="0.35">
      <c r="M20" s="17" t="s">
        <v>64</v>
      </c>
      <c r="N20" s="39">
        <v>1</v>
      </c>
      <c r="P20" s="17">
        <v>2023</v>
      </c>
      <c r="Q20" s="39">
        <v>35000</v>
      </c>
    </row>
    <row r="21" spans="13:17" x14ac:dyDescent="0.35">
      <c r="M21" s="17" t="s">
        <v>100</v>
      </c>
      <c r="N21" s="39">
        <v>1</v>
      </c>
      <c r="P21" s="17" t="s">
        <v>182</v>
      </c>
      <c r="Q21" s="39">
        <v>3314000</v>
      </c>
    </row>
    <row r="22" spans="13:17" x14ac:dyDescent="0.35">
      <c r="M22" s="17" t="s">
        <v>135</v>
      </c>
      <c r="N22" s="39">
        <v>1</v>
      </c>
    </row>
    <row r="23" spans="13:17" x14ac:dyDescent="0.35">
      <c r="M23" s="17" t="s">
        <v>19</v>
      </c>
      <c r="N23" s="39">
        <v>4</v>
      </c>
    </row>
    <row r="24" spans="13:17" x14ac:dyDescent="0.35">
      <c r="M24" s="17" t="s">
        <v>76</v>
      </c>
      <c r="N24" s="39">
        <v>1</v>
      </c>
    </row>
    <row r="25" spans="13:17" x14ac:dyDescent="0.35">
      <c r="M25" s="17" t="s">
        <v>124</v>
      </c>
      <c r="N25" s="39">
        <v>1</v>
      </c>
    </row>
    <row r="26" spans="13:17" x14ac:dyDescent="0.35">
      <c r="M26" s="17" t="s">
        <v>45</v>
      </c>
      <c r="N26" s="39">
        <v>3</v>
      </c>
    </row>
    <row r="27" spans="13:17" x14ac:dyDescent="0.35">
      <c r="M27" s="17" t="s">
        <v>23</v>
      </c>
      <c r="N27" s="39">
        <v>5</v>
      </c>
    </row>
    <row r="28" spans="13:17" x14ac:dyDescent="0.35">
      <c r="M28" s="17" t="s">
        <v>129</v>
      </c>
      <c r="N28" s="39">
        <v>1</v>
      </c>
    </row>
    <row r="29" spans="13:17" x14ac:dyDescent="0.35">
      <c r="M29" s="17" t="s">
        <v>84</v>
      </c>
      <c r="N29" s="39">
        <v>1</v>
      </c>
    </row>
    <row r="30" spans="13:17" x14ac:dyDescent="0.35">
      <c r="M30" s="17" t="s">
        <v>144</v>
      </c>
      <c r="N30" s="39">
        <v>1</v>
      </c>
    </row>
    <row r="31" spans="13:17" x14ac:dyDescent="0.35">
      <c r="M31" s="17" t="s">
        <v>121</v>
      </c>
      <c r="N31" s="39">
        <v>1</v>
      </c>
    </row>
    <row r="32" spans="13:17" x14ac:dyDescent="0.35">
      <c r="M32" s="17" t="s">
        <v>182</v>
      </c>
      <c r="N32" s="39">
        <v>50</v>
      </c>
    </row>
  </sheetData>
  <mergeCells count="10">
    <mergeCell ref="AE1:AF3"/>
    <mergeCell ref="A1:D3"/>
    <mergeCell ref="F1:G3"/>
    <mergeCell ref="I1:K3"/>
    <mergeCell ref="M1:N3"/>
    <mergeCell ref="P1:Q3"/>
    <mergeCell ref="S1:T3"/>
    <mergeCell ref="V1:W3"/>
    <mergeCell ref="Y1:Z3"/>
    <mergeCell ref="AB1:A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C85A5-CCE1-48D3-B024-5FCA9AC6D250}">
  <sheetPr codeName="Sheet4"/>
  <dimension ref="A1:AG219"/>
  <sheetViews>
    <sheetView showGridLines="0" zoomScale="70" zoomScaleNormal="70" workbookViewId="0">
      <selection activeCell="T23" sqref="T23"/>
    </sheetView>
  </sheetViews>
  <sheetFormatPr defaultRowHeight="14.5" x14ac:dyDescent="0.35"/>
  <sheetData>
    <row r="1" spans="1:19" ht="14.5" customHeight="1" x14ac:dyDescent="0.35">
      <c r="A1" s="29" t="s">
        <v>204</v>
      </c>
      <c r="B1" s="30"/>
      <c r="C1" s="30"/>
      <c r="D1" s="30"/>
      <c r="E1" s="30"/>
      <c r="F1" s="30"/>
      <c r="G1" s="30"/>
      <c r="H1" s="30"/>
      <c r="I1" s="30"/>
      <c r="J1" s="30"/>
      <c r="K1" s="30"/>
      <c r="L1" s="30"/>
      <c r="M1" s="30"/>
      <c r="N1" s="30"/>
      <c r="O1" s="30"/>
      <c r="P1" s="30"/>
      <c r="Q1" s="30"/>
      <c r="R1" s="30"/>
      <c r="S1" s="31"/>
    </row>
    <row r="2" spans="1:19" ht="14.5" customHeight="1" x14ac:dyDescent="0.35">
      <c r="A2" s="32"/>
      <c r="B2" s="33"/>
      <c r="C2" s="33"/>
      <c r="D2" s="33"/>
      <c r="E2" s="33"/>
      <c r="F2" s="33"/>
      <c r="G2" s="33"/>
      <c r="H2" s="33"/>
      <c r="I2" s="33"/>
      <c r="J2" s="33"/>
      <c r="K2" s="33"/>
      <c r="L2" s="33"/>
      <c r="M2" s="33"/>
      <c r="N2" s="33"/>
      <c r="O2" s="33"/>
      <c r="P2" s="33"/>
      <c r="Q2" s="33"/>
      <c r="R2" s="33"/>
      <c r="S2" s="34"/>
    </row>
    <row r="3" spans="1:19" ht="14.5" customHeight="1" x14ac:dyDescent="0.35">
      <c r="A3" s="35"/>
      <c r="B3" s="36"/>
      <c r="C3" s="36"/>
      <c r="D3" s="36"/>
      <c r="E3" s="36"/>
      <c r="F3" s="36"/>
      <c r="G3" s="36"/>
      <c r="H3" s="36"/>
      <c r="I3" s="36"/>
      <c r="J3" s="36"/>
      <c r="K3" s="36"/>
      <c r="L3" s="36"/>
      <c r="M3" s="36"/>
      <c r="N3" s="36"/>
      <c r="O3" s="36"/>
      <c r="P3" s="36"/>
      <c r="Q3" s="36"/>
      <c r="R3" s="36"/>
      <c r="S3" s="37"/>
    </row>
    <row r="4" spans="1:19" x14ac:dyDescent="0.35">
      <c r="D4" s="23"/>
      <c r="E4" s="24"/>
      <c r="F4" s="25"/>
      <c r="H4" s="23"/>
      <c r="I4" s="24"/>
      <c r="J4" s="25"/>
      <c r="M4" s="23"/>
      <c r="N4" s="24"/>
      <c r="O4" s="25"/>
      <c r="P4" s="10"/>
      <c r="Q4" s="23"/>
      <c r="R4" s="24"/>
      <c r="S4" s="25"/>
    </row>
    <row r="5" spans="1:19" x14ac:dyDescent="0.35">
      <c r="D5" s="23"/>
      <c r="E5" s="24"/>
      <c r="F5" s="25"/>
      <c r="H5" s="23"/>
      <c r="I5" s="24"/>
      <c r="J5" s="25"/>
      <c r="M5" s="23"/>
      <c r="N5" s="24"/>
      <c r="O5" s="25"/>
      <c r="P5" s="10"/>
      <c r="Q5" s="23"/>
      <c r="R5" s="24"/>
      <c r="S5" s="25"/>
    </row>
    <row r="6" spans="1:19" x14ac:dyDescent="0.35">
      <c r="D6" s="23"/>
      <c r="E6" s="24"/>
      <c r="F6" s="25"/>
      <c r="H6" s="23"/>
      <c r="I6" s="24"/>
      <c r="J6" s="25"/>
      <c r="M6" s="23"/>
      <c r="N6" s="24"/>
      <c r="O6" s="25"/>
      <c r="P6" s="10"/>
      <c r="Q6" s="23"/>
      <c r="R6" s="24"/>
      <c r="S6" s="25"/>
    </row>
    <row r="7" spans="1:19" x14ac:dyDescent="0.35">
      <c r="D7" s="23"/>
      <c r="E7" s="24"/>
      <c r="F7" s="25"/>
      <c r="H7" s="23"/>
      <c r="I7" s="24"/>
      <c r="J7" s="25"/>
      <c r="M7" s="23"/>
      <c r="N7" s="24"/>
      <c r="O7" s="25"/>
      <c r="P7" s="10"/>
      <c r="Q7" s="23"/>
      <c r="R7" s="24"/>
      <c r="S7" s="25"/>
    </row>
    <row r="8" spans="1:19" x14ac:dyDescent="0.35">
      <c r="D8" s="23"/>
      <c r="E8" s="24"/>
      <c r="F8" s="25"/>
      <c r="H8" s="23"/>
      <c r="I8" s="24"/>
      <c r="J8" s="25"/>
      <c r="M8" s="23"/>
      <c r="N8" s="24"/>
      <c r="O8" s="25"/>
      <c r="P8" s="10"/>
      <c r="Q8" s="23"/>
      <c r="R8" s="24"/>
      <c r="S8" s="25"/>
    </row>
    <row r="9" spans="1:19" x14ac:dyDescent="0.35">
      <c r="D9" s="23"/>
      <c r="E9" s="24"/>
      <c r="F9" s="25"/>
      <c r="H9" s="23"/>
      <c r="I9" s="24"/>
      <c r="J9" s="25"/>
      <c r="M9" s="23"/>
      <c r="N9" s="24"/>
      <c r="O9" s="25"/>
      <c r="Q9" s="23"/>
      <c r="R9" s="24"/>
      <c r="S9" s="25"/>
    </row>
    <row r="10" spans="1:19" x14ac:dyDescent="0.35">
      <c r="D10" s="26"/>
      <c r="E10" s="27"/>
      <c r="F10" s="28"/>
      <c r="H10" s="26"/>
      <c r="I10" s="27"/>
      <c r="J10" s="28"/>
      <c r="M10" s="26"/>
      <c r="N10" s="27"/>
      <c r="O10" s="28"/>
      <c r="Q10" s="26"/>
      <c r="R10" s="27"/>
      <c r="S10" s="28"/>
    </row>
    <row r="217" spans="33:33" x14ac:dyDescent="0.35">
      <c r="AG217" s="10"/>
    </row>
    <row r="219" spans="33:33" x14ac:dyDescent="0.35">
      <c r="AG219" s="10"/>
    </row>
  </sheetData>
  <mergeCells count="5">
    <mergeCell ref="D4:F10"/>
    <mergeCell ref="M4:O10"/>
    <mergeCell ref="Q4:S10"/>
    <mergeCell ref="A1:S3"/>
    <mergeCell ref="H4:J10"/>
  </mergeCells>
  <pageMargins left="0.7" right="0.7" top="0.75" bottom="0.75" header="0.3" footer="0.3"/>
  <drawing r:id="rId1"/>
  <legacyDrawing r:id="rId2"/>
  <extLst>
    <ext xmlns:x14="http://schemas.microsoft.com/office/spreadsheetml/2009/9/main" uri="{05C60535-1F16-4fd2-B633-F4F36F0B64E0}">
      <x14:sparklineGroups xmlns:xm="http://schemas.microsoft.com/office/excel/2006/main">
        <x14:sparklineGroup manualMax="0" manualMin="0" type="column" displayEmptyCellsAs="gap" xr2:uid="{38DD71FE-D556-46E9-BB93-56021948FEB1}">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'Raw Data'!A2:A51</xm:f>
              <xm:sqref>P13</xm:sqref>
            </x14:sparkline>
          </x14:sparklines>
        </x14:sparklineGroup>
        <x14:sparklineGroup manualMax="0" manualMin="0" displayEmptyCellsAs="gap" xr2:uid="{073B3701-0823-4AFC-815E-5AFDA56862C5}">
          <x14:colorSeries rgb="FF376092"/>
          <x14:colorNegative rgb="FFD00000"/>
          <x14:colorAxis rgb="FF000000"/>
          <x14:colorMarkers rgb="FFD00000"/>
          <x14:colorFirst rgb="FFD00000"/>
          <x14:colorLast rgb="FFD00000"/>
          <x14:colorHigh rgb="FFD00000"/>
          <x14:colorLow rgb="FFD00000"/>
          <x14:sparklines>
            <x14:sparkline>
              <xm:f>'Pivot Table Analysis'!D5:D10</xm:f>
              <xm:sqref>AG218</xm:sqref>
            </x14:sparkline>
          </x14:sparklines>
        </x14:sparklineGroup>
        <x14:sparklineGroup manualMax="0" manualMin="0" type="column" displayEmptyCellsAs="gap" xr2:uid="{10C947BF-9D4C-43C5-AB57-5249CB423CEF}">
          <x14:colorSeries rgb="FF376092"/>
          <x14:colorNegative rgb="FFD00000"/>
          <x14:colorAxis rgb="FF000000"/>
          <x14:colorMarkers rgb="FFD00000"/>
          <x14:colorFirst rgb="FFD00000"/>
          <x14:colorLast rgb="FFD00000"/>
          <x14:colorHigh rgb="FFD00000"/>
          <x14:colorLow rgb="FFD00000"/>
          <x14:sparklines>
            <x14:sparkline>
              <xm:f>'Pivot Table Analysis'!C5:C10</xm:f>
              <xm:sqref>AG219</xm:sqref>
            </x14:sparkline>
          </x14:sparklines>
        </x14:sparklineGroup>
        <x14:sparklineGroup manualMax="0" manualMin="0" type="column" displayEmptyCellsAs="gap" xr2:uid="{00330203-9418-4CA0-A6F5-4A493BFF677E}">
          <x14:colorSeries rgb="FF376092"/>
          <x14:colorNegative rgb="FFD00000"/>
          <x14:colorAxis rgb="FF000000"/>
          <x14:colorMarkers rgb="FFD00000"/>
          <x14:colorFirst rgb="FFD00000"/>
          <x14:colorLast rgb="FFD00000"/>
          <x14:colorHigh rgb="FFD00000"/>
          <x14:colorLow rgb="FFD00000"/>
          <x14:sparklines>
            <x14:sparkline>
              <xm:f>'Pivot Table Analysis'!B5:B10</xm:f>
              <xm:sqref>AG217</xm:sqref>
            </x14:sparkline>
          </x14:sparklines>
        </x14:sparklineGroup>
        <x14:sparklineGroup manualMax="0" manualMin="0" type="column" displayEmptyCellsAs="gap" xr2:uid="{0AF90E52-F01D-449F-B4A5-5F28B4A08149}">
          <x14:colorSeries rgb="FF376092"/>
          <x14:colorNegative rgb="FFD00000"/>
          <x14:colorAxis rgb="FF000000"/>
          <x14:colorMarkers rgb="FFD00000"/>
          <x14:colorFirst rgb="FFD00000"/>
          <x14:colorLast rgb="FFD00000"/>
          <x14:colorHigh rgb="FFD00000"/>
          <x14:colorLow rgb="FFD00000"/>
          <x14:sparklines>
            <x14:sparkline>
              <xm:f>'Pivot Table Analysis'!Z5:Z10</xm:f>
              <xm:sqref>AG220</xm:sqref>
            </x14:sparkline>
          </x14:sparklines>
        </x14:sparklineGroup>
      </x14:sparklineGroup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01C9D-ECBC-4FD0-88F4-A7A06F78D4C1}">
  <dimension ref="A1:J15"/>
  <sheetViews>
    <sheetView workbookViewId="0">
      <selection activeCell="D20" sqref="D20"/>
    </sheetView>
  </sheetViews>
  <sheetFormatPr defaultRowHeight="14.5" x14ac:dyDescent="0.35"/>
  <cols>
    <col min="1" max="1" width="12.6328125" bestFit="1" customWidth="1"/>
    <col min="2" max="2" width="17.81640625" bestFit="1" customWidth="1"/>
    <col min="3" max="3" width="30.90625" bestFit="1" customWidth="1"/>
    <col min="4" max="4" width="53.54296875" bestFit="1" customWidth="1"/>
  </cols>
  <sheetData>
    <row r="1" spans="1:10" ht="14.5" customHeight="1" x14ac:dyDescent="0.35">
      <c r="A1" s="38" t="s">
        <v>205</v>
      </c>
      <c r="B1" s="38"/>
      <c r="C1" s="38"/>
      <c r="D1" s="38"/>
      <c r="E1" s="38"/>
      <c r="F1" s="38"/>
      <c r="G1" s="38"/>
      <c r="H1" s="38"/>
      <c r="I1" s="38"/>
      <c r="J1" s="38"/>
    </row>
    <row r="2" spans="1:10" x14ac:dyDescent="0.35">
      <c r="A2" s="38"/>
      <c r="B2" s="38"/>
      <c r="C2" s="38"/>
      <c r="D2" s="38"/>
      <c r="E2" s="38"/>
      <c r="F2" s="38"/>
      <c r="G2" s="38"/>
      <c r="H2" s="38"/>
      <c r="I2" s="38"/>
      <c r="J2" s="38"/>
    </row>
    <row r="3" spans="1:10" x14ac:dyDescent="0.35">
      <c r="A3" s="38"/>
      <c r="B3" s="38"/>
      <c r="C3" s="38"/>
      <c r="D3" s="38"/>
      <c r="E3" s="38"/>
      <c r="F3" s="38"/>
      <c r="G3" s="38"/>
      <c r="H3" s="38"/>
      <c r="I3" s="38"/>
      <c r="J3" s="38"/>
    </row>
    <row r="4" spans="1:10" x14ac:dyDescent="0.35">
      <c r="A4" s="38"/>
      <c r="B4" s="38"/>
      <c r="C4" s="38"/>
      <c r="D4" s="38"/>
      <c r="E4" s="38"/>
      <c r="F4" s="38"/>
      <c r="G4" s="38"/>
      <c r="H4" s="38"/>
      <c r="I4" s="38"/>
      <c r="J4" s="38"/>
    </row>
    <row r="5" spans="1:10" x14ac:dyDescent="0.35">
      <c r="A5" s="38"/>
      <c r="B5" s="38"/>
      <c r="C5" s="38"/>
      <c r="D5" s="38"/>
      <c r="E5" s="38"/>
      <c r="F5" s="38"/>
      <c r="G5" s="38"/>
      <c r="H5" s="38"/>
      <c r="I5" s="38"/>
      <c r="J5" s="38"/>
    </row>
    <row r="6" spans="1:10" x14ac:dyDescent="0.35">
      <c r="A6" s="38"/>
      <c r="B6" s="38"/>
      <c r="C6" s="38"/>
      <c r="D6" s="38"/>
      <c r="E6" s="38"/>
      <c r="F6" s="38"/>
      <c r="G6" s="38"/>
      <c r="H6" s="38"/>
      <c r="I6" s="38"/>
      <c r="J6" s="38"/>
    </row>
    <row r="7" spans="1:10" x14ac:dyDescent="0.35">
      <c r="A7" s="38"/>
      <c r="B7" s="38"/>
      <c r="C7" s="38"/>
      <c r="D7" s="38"/>
      <c r="E7" s="38"/>
      <c r="F7" s="38"/>
      <c r="G7" s="38"/>
      <c r="H7" s="38"/>
      <c r="I7" s="38"/>
      <c r="J7" s="38"/>
    </row>
    <row r="8" spans="1:10" x14ac:dyDescent="0.35">
      <c r="A8" s="38"/>
      <c r="B8" s="38"/>
      <c r="C8" s="38"/>
      <c r="D8" s="38"/>
      <c r="E8" s="38"/>
      <c r="F8" s="38"/>
      <c r="G8" s="38"/>
      <c r="H8" s="38"/>
      <c r="I8" s="38"/>
      <c r="J8" s="38"/>
    </row>
    <row r="9" spans="1:10" x14ac:dyDescent="0.35">
      <c r="A9" s="38"/>
      <c r="B9" s="38"/>
      <c r="C9" s="38"/>
      <c r="D9" s="38"/>
      <c r="E9" s="38"/>
      <c r="F9" s="38"/>
      <c r="G9" s="38"/>
      <c r="H9" s="38"/>
      <c r="I9" s="38"/>
      <c r="J9" s="38"/>
    </row>
    <row r="10" spans="1:10" x14ac:dyDescent="0.35">
      <c r="A10" s="38"/>
      <c r="B10" s="38"/>
      <c r="C10" s="38"/>
      <c r="D10" s="38"/>
      <c r="E10" s="38"/>
      <c r="F10" s="38"/>
      <c r="G10" s="38"/>
      <c r="H10" s="38"/>
      <c r="I10" s="38"/>
      <c r="J10" s="38"/>
    </row>
    <row r="11" spans="1:10" x14ac:dyDescent="0.35">
      <c r="A11" s="38"/>
      <c r="B11" s="38"/>
      <c r="C11" s="38"/>
      <c r="D11" s="38"/>
      <c r="E11" s="38"/>
      <c r="F11" s="38"/>
      <c r="G11" s="38"/>
      <c r="H11" s="38"/>
      <c r="I11" s="38"/>
      <c r="J11" s="38"/>
    </row>
    <row r="12" spans="1:10" x14ac:dyDescent="0.35">
      <c r="A12" s="38"/>
      <c r="B12" s="38"/>
      <c r="C12" s="38"/>
      <c r="D12" s="38"/>
      <c r="E12" s="38"/>
      <c r="F12" s="38"/>
      <c r="G12" s="38"/>
      <c r="H12" s="38"/>
      <c r="I12" s="38"/>
      <c r="J12" s="38"/>
    </row>
    <row r="13" spans="1:10" x14ac:dyDescent="0.35">
      <c r="A13" s="38"/>
      <c r="B13" s="38"/>
      <c r="C13" s="38"/>
      <c r="D13" s="38"/>
      <c r="E13" s="38"/>
      <c r="F13" s="38"/>
      <c r="G13" s="38"/>
      <c r="H13" s="38"/>
      <c r="I13" s="38"/>
      <c r="J13" s="38"/>
    </row>
    <row r="14" spans="1:10" x14ac:dyDescent="0.35">
      <c r="A14" s="38"/>
      <c r="B14" s="38"/>
      <c r="C14" s="38"/>
      <c r="D14" s="38"/>
      <c r="E14" s="38"/>
      <c r="F14" s="38"/>
      <c r="G14" s="38"/>
      <c r="H14" s="38"/>
      <c r="I14" s="38"/>
      <c r="J14" s="38"/>
    </row>
    <row r="15" spans="1:10" x14ac:dyDescent="0.35">
      <c r="A15" s="38"/>
      <c r="B15" s="38"/>
      <c r="C15" s="38"/>
      <c r="D15" s="38"/>
      <c r="E15" s="38"/>
      <c r="F15" s="38"/>
      <c r="G15" s="38"/>
      <c r="H15" s="38"/>
      <c r="I15" s="38"/>
      <c r="J15" s="38"/>
    </row>
  </sheetData>
  <mergeCells count="1">
    <mergeCell ref="A1:J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Raw Data</vt:lpstr>
      <vt:lpstr>KPI CAlCULATION</vt:lpstr>
      <vt:lpstr>Pivot Table Analysis</vt:lpstr>
      <vt:lpstr>DASHBOARD</vt:lpstr>
      <vt:lpstr>Insights</vt:lpstr>
      <vt:lpstr>HR_RAW_DATA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Shailesh kumar</dc:creator>
  <cp:lastModifiedBy>Shailesh kumar</cp:lastModifiedBy>
  <dcterms:created xsi:type="dcterms:W3CDTF">2026-01-10T16:14:57Z</dcterms:created>
  <dcterms:modified xsi:type="dcterms:W3CDTF">2026-01-13T06:22:33Z</dcterms:modified>
</cp:coreProperties>
</file>